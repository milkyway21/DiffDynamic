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<sst xmlns="http://schemas.openxmlformats.org/spreadsheetml/2006/main" count="1910" uniqueCount="452">
  <si>
    <t>timestamp</t>
  </si>
  <si>
    <t>result_dir</t>
  </si>
  <si>
    <t>result_file</t>
  </si>
  <si>
    <t>mode</t>
  </si>
  <si>
    <t>config_backup</t>
  </si>
  <si>
    <t>data_id</t>
  </si>
  <si>
    <t>eval_QED_中位数</t>
  </si>
  <si>
    <t>eval_QED_均值</t>
  </si>
  <si>
    <t>eval_SA_中位数</t>
  </si>
  <si>
    <t>eval_SA_均值</t>
  </si>
  <si>
    <t>eval_method</t>
  </si>
  <si>
    <t>eval_output_dir</t>
  </si>
  <si>
    <t>eval_中位数亲和力</t>
  </si>
  <si>
    <t>eval_对接成功率(%)</t>
  </si>
  <si>
    <t>对接成功数</t>
  </si>
  <si>
    <t>eval_平均亲和力</t>
  </si>
  <si>
    <t>总亲和力</t>
  </si>
  <si>
    <t>eval_最佳亲和力</t>
  </si>
  <si>
    <t>eval_重建成功率(%)</t>
  </si>
  <si>
    <t>model_checkpoint</t>
  </si>
  <si>
    <t>model_force_model_type</t>
  </si>
  <si>
    <t>model_grad_fusion_lambda_end</t>
  </si>
  <si>
    <t>model_grad_fusion_lambda_mode</t>
  </si>
  <si>
    <t>model_grad_fusion_lambda_power</t>
  </si>
  <si>
    <t>model_grad_fusion_lambda_start</t>
  </si>
  <si>
    <t>model_use_grad_fusion</t>
  </si>
  <si>
    <t>sample_center_pos_mode</t>
  </si>
  <si>
    <t>sample_docking_backend</t>
  </si>
  <si>
    <t>sample_docking_enable</t>
  </si>
  <si>
    <t>sample_docking_tmp_dir</t>
  </si>
  <si>
    <t>sample_docking_vina_exhaustiveness</t>
  </si>
  <si>
    <t>sample_docking_vina_poses</t>
  </si>
  <si>
    <t>sample_dynamic_large_step_batch_size</t>
  </si>
  <si>
    <t>sample_dynamic_large_step_lambda_coeff_a</t>
  </si>
  <si>
    <t>sample_dynamic_large_step_lambda_coeff_b</t>
  </si>
  <si>
    <t>sample_dynamic_large_step_linear_step_lower</t>
  </si>
  <si>
    <t>sample_dynamic_large_step_linear_step_upper</t>
  </si>
  <si>
    <t>sample_dynamic_large_step_n_repeat</t>
  </si>
  <si>
    <t>sample_dynamic_large_step_noise_scale</t>
  </si>
  <si>
    <t>sample_dynamic_large_step_schedule</t>
  </si>
  <si>
    <t>sample_dynamic_large_step_step_size</t>
  </si>
  <si>
    <t>sample_dynamic_large_step_stride</t>
  </si>
  <si>
    <t>sample_dynamic_large_step_time_lower</t>
  </si>
  <si>
    <t>sample_dynamic_method</t>
  </si>
  <si>
    <t>sample_dynamic_refine_cycles</t>
  </si>
  <si>
    <t>sample_dynamic_refine_lambda_coeff_a</t>
  </si>
  <si>
    <t>sample_dynamic_refine_lambda_coeff_b</t>
  </si>
  <si>
    <t>sample_dynamic_refine_linear_step_lower</t>
  </si>
  <si>
    <t>sample_dynamic_refine_linear_step_upper</t>
  </si>
  <si>
    <t>sample_dynamic_refine_n_sampling</t>
  </si>
  <si>
    <t>sample_dynamic_refine_noise_scale</t>
  </si>
  <si>
    <t>sample_dynamic_refine_schedule</t>
  </si>
  <si>
    <t>sample_dynamic_refine_step_size</t>
  </si>
  <si>
    <t>sample_dynamic_refine_stride</t>
  </si>
  <si>
    <t>sample_dynamic_refine_time_lower</t>
  </si>
  <si>
    <t>sample_dynamic_refine_time_upper</t>
  </si>
  <si>
    <t>sample_dynamic_selector_enable_selection</t>
  </si>
  <si>
    <t>sample_dynamic_selector_max_sa</t>
  </si>
  <si>
    <t>sample_dynamic_selector_min_qed</t>
  </si>
  <si>
    <t>sample_dynamic_selector_qed_weight</t>
  </si>
  <si>
    <t>sample_dynamic_selector_sa_weight</t>
  </si>
  <si>
    <t>sample_dynamic_selector_top_n</t>
  </si>
  <si>
    <t>sample_mode</t>
  </si>
  <si>
    <t>sample_num_samples</t>
  </si>
  <si>
    <t>sample_num_steps</t>
  </si>
  <si>
    <t>sample_pos_only</t>
  </si>
  <si>
    <t>sample_sample_num_atoms</t>
  </si>
  <si>
    <t>sample_seed</t>
  </si>
  <si>
    <t>sampling_steps</t>
  </si>
  <si>
    <t>sdf_dir</t>
  </si>
  <si>
    <t>2025-12-11 13:16:00,969</t>
  </si>
  <si>
    <t>/workspace/outputs</t>
  </si>
  <si>
    <t>/workspace/outputs/result_0_20251211_131600.pt</t>
  </si>
  <si>
    <t>dynamic</t>
  </si>
  <si>
    <t>/workspace/outputs/sample.yml</t>
  </si>
  <si>
    <t>evaluate_pt_with_correct_reconstruct</t>
  </si>
  <si>
    <t>/workspace/outputs/eval_0_20251211_134741</t>
  </si>
  <si>
    <t>./pretrained_models/pretrained_GlintDM.pt</t>
  </si>
  <si>
    <t>diffdynamic</t>
  </si>
  <si>
    <t>quadratic</t>
  </si>
  <si>
    <t>protein</t>
  </si>
  <si>
    <t>vina_python</t>
  </si>
  <si>
    <t/>
  </si>
  <si>
    <t>lambda</t>
  </si>
  <si>
    <t>auto</t>
  </si>
  <si>
    <t>prior</t>
  </si>
  <si>
    <t xml:space="preserve">序号     当前时间步        下一步时间步         跳步步长       梯度融合权重             阶段
------------------------------------------------------------------------------------------------------------------------
1      999          899            100        0.000000           Large Step     
2      899          807            92         0.190180           Large Step     
3      807          750            85         0.347447           Large Step     
4      750          715            35         0.436373           Refine         
5      715          681            34         0.487751           Refine         
6      681          649            32         0.535310           Refine         
7      649          618            31         0.577955           Refine         
8      618          588            30         0.617311           Refine         
9      588          559            29         0.653563           Refine         
10     559          532            27         0.686893           Refine         
11     532          506            26         0.716409           Refine         
12     506          481            25         0.743451           Refine         
13     481          457            24         0.768176           Refine         
14     457          434            23         0.790733           Refine         
15     434          412            22         0.811267           Refine         
16     412          391            21         0.829916           Refine         
17     391          370            21         0.846813           Refine         
18     370          350            20         0.862826           Refine         
19     350          331            19         0.877255           Refine         
20     331          313            18         0.890220           Refine         
21     313          295            18         0.901835           Refine         
22     295          278            17         0.912801           Refine         
23     278          262            16         0.922561           Refine         
24     262          247            15         0.931219           Refine         
25     247          232            15         0.938869           Refine         
26     232          218            14         0.946068           Refine         
27     218          204            14         0.952381           Refine         
28     204          191            13         0.958301           Refine         
29     191          178            13         0.963446           Refine         
30     178          166            12         0.968253           Refine         
31     166          154            12         0.972389           Refine         
32     154          143            11         0.976236           Refine         
33     143          132            11         0.979510           Refine         
34     132          122            10         0.982541           Refine         
35     122          112            10         0.985086           Refine         
36     112          103            9          0.987431           Refine         
37     103          94             9          0.989370           Refine         
38     94           85             9          0.991146           Refine         
39     85           77             8          0.992761           Refine         
40     77           69             8          0.994059           Refine         
41     69           61             8          0.995229           Refine         
42     61           54             7          0.996272           Refine         
43     54           47             7          0.997078           Refine         
44     47           40             7          0.997787           Refine         
45     40           33             7          0.998397           Refine         
46     33           27             6          0.998909           Refine         
47     27           21             6          0.999270           Refine         
48     21           15             6          0.999558           Refine         
49     15           9              6          0.999775           Refine         
50     9            4              5          0.999919           Refine         
51     4            0              5          0.999984           Refine         
52     0            结束             -          1.000000           Refine         </t>
  </si>
  <si>
    <t>/workspace/outputs/eval_0_20251211_134741/reconstructed_molecules</t>
  </si>
  <si>
    <t>2025-12-11 13:17:03,118</t>
  </si>
  <si>
    <t>/workspace/outputs/result_1_20251211_131702.pt</t>
  </si>
  <si>
    <t>/workspace/outputs/eval_1_20251211_134741</t>
  </si>
  <si>
    <t>/workspace/outputs/eval_1_20251211_134741/reconstructed_molecules</t>
  </si>
  <si>
    <t>2025-12-11 13:18:05,138</t>
  </si>
  <si>
    <t>/workspace/outputs/result_2_20251211_131804.pt</t>
  </si>
  <si>
    <t>/workspace/outputs/eval_2_20251211_134741</t>
  </si>
  <si>
    <t>/workspace/outputs/eval_2_20251211_134741/reconstructed_molecules</t>
  </si>
  <si>
    <t>2025-12-11 13:19:05,574</t>
  </si>
  <si>
    <t>/workspace/outputs/result_3_20251211_131905.pt</t>
  </si>
  <si>
    <t>/workspace/outputs/eval_3_20251211_134741</t>
  </si>
  <si>
    <t>/workspace/outputs/eval_3_20251211_134741/reconstructed_molecules</t>
  </si>
  <si>
    <t>2025-12-11 13:20:06,614</t>
  </si>
  <si>
    <t>/workspace/outputs/result_4_20251211_132006.pt</t>
  </si>
  <si>
    <t>/workspace/outputs/eval_4_20251211_134741</t>
  </si>
  <si>
    <t>/workspace/outputs/eval_4_20251211_134741/reconstructed_molecules</t>
  </si>
  <si>
    <t>2025-12-11 13:21:06,155</t>
  </si>
  <si>
    <t>/workspace/outputs/result_5_20251211_132106.pt</t>
  </si>
  <si>
    <t>/workspace/outputs/eval_5_20251211_134741</t>
  </si>
  <si>
    <t>/workspace/outputs/eval_5_20251211_134741/reconstructed_molecules</t>
  </si>
  <si>
    <t>2025-12-11 13:22:07,667</t>
  </si>
  <si>
    <t>/workspace/outputs/result_6_20251211_132207.pt</t>
  </si>
  <si>
    <t>/workspace/outputs/eval_6_20251211_134741</t>
  </si>
  <si>
    <t>/workspace/outputs/eval_6_20251211_134741/reconstructed_molecules</t>
  </si>
  <si>
    <t>2025-12-11 13:15:57,695</t>
  </si>
  <si>
    <t>/workspace/outputs/result_7_20251211_131557.pt</t>
  </si>
  <si>
    <t>/workspace/outputs/eval_7_20251211_134741</t>
  </si>
  <si>
    <t>/workspace/outputs/eval_7_20251211_134741/reconstructed_molecules</t>
  </si>
  <si>
    <t>2025-12-11 13:17:01,696</t>
  </si>
  <si>
    <t>/workspace/outputs/result_8_20251211_131701.pt</t>
  </si>
  <si>
    <t>/workspace/outputs/eval_8_20251211_134741</t>
  </si>
  <si>
    <t>/workspace/outputs/eval_8_20251211_134741/reconstructed_molecules</t>
  </si>
  <si>
    <t>2025-12-11 13:18:03,155</t>
  </si>
  <si>
    <t>/workspace/outputs/result_9_20251211_131802.pt</t>
  </si>
  <si>
    <t>/workspace/outputs/eval_9_20251211_134741</t>
  </si>
  <si>
    <t>/workspace/outputs/eval_9_20251211_134741/reconstructed_molecules</t>
  </si>
  <si>
    <t>2025-12-11 13:19:06,735</t>
  </si>
  <si>
    <t>/workspace/outputs/result_10_20251211_131906.pt</t>
  </si>
  <si>
    <t>/workspace/outputs/eval_10_20251211_134741</t>
  </si>
  <si>
    <t>/workspace/outputs/eval_10_20251211_134741/reconstructed_molecules</t>
  </si>
  <si>
    <t>2025-12-11 13:20:09,657</t>
  </si>
  <si>
    <t>/workspace/outputs/result_11_20251211_132009.pt</t>
  </si>
  <si>
    <t>/workspace/outputs/eval_11_20251211_134741</t>
  </si>
  <si>
    <t>/workspace/outputs/eval_11_20251211_134741/reconstructed_molecules</t>
  </si>
  <si>
    <t>2025-12-11 13:21:11,929</t>
  </si>
  <si>
    <t>/workspace/outputs/result_12_20251211_132111.pt</t>
  </si>
  <si>
    <t>/workspace/outputs/eval_12_20251211_134741</t>
  </si>
  <si>
    <t>/workspace/outputs/eval_12_20251211_134741/reconstructed_molecules</t>
  </si>
  <si>
    <t>2025-12-11 13:22:16,000</t>
  </si>
  <si>
    <t>/workspace/outputs/result_13_20251211_132215.pt</t>
  </si>
  <si>
    <t>/workspace/outputs/eval_13_20251211_134741</t>
  </si>
  <si>
    <t>/workspace/outputs/eval_13_20251211_134741/reconstructed_molecules</t>
  </si>
  <si>
    <t>2025-12-11 13:15:57,094</t>
  </si>
  <si>
    <t>/workspace/outputs/result_14_20251211_131556.pt</t>
  </si>
  <si>
    <t>/workspace/outputs/eval_14_20251211_134741</t>
  </si>
  <si>
    <t>/workspace/outputs/eval_14_20251211_134741/reconstructed_molecules</t>
  </si>
  <si>
    <t>2025-12-11 13:16:57,532</t>
  </si>
  <si>
    <t>/workspace/outputs/result_15_20251211_131657.pt</t>
  </si>
  <si>
    <t>/workspace/outputs/eval_15_20251211_134741</t>
  </si>
  <si>
    <t>/workspace/outputs/eval_15_20251211_134741/reconstructed_molecules</t>
  </si>
  <si>
    <t>2025-12-11 13:18:01,799</t>
  </si>
  <si>
    <t>/workspace/outputs/result_16_20251211_131801.pt</t>
  </si>
  <si>
    <t>/workspace/outputs/eval_16_20251211_134741</t>
  </si>
  <si>
    <t>/workspace/outputs/eval_16_20251211_134741/reconstructed_molecules</t>
  </si>
  <si>
    <t>2025-12-11 13:19:04,554</t>
  </si>
  <si>
    <t>/workspace/outputs/result_17_20251211_131904.pt</t>
  </si>
  <si>
    <t>/workspace/outputs/eval_17_20251211_134741</t>
  </si>
  <si>
    <t>/workspace/outputs/eval_17_20251211_134741/reconstructed_molecules</t>
  </si>
  <si>
    <t>2025-12-11 13:20:07,401</t>
  </si>
  <si>
    <t>/workspace/outputs/result_18_20251211_132007.pt</t>
  </si>
  <si>
    <t>/workspace/outputs/eval_18_20251211_134741</t>
  </si>
  <si>
    <t>/workspace/outputs/eval_18_20251211_134741/reconstructed_molecules</t>
  </si>
  <si>
    <t>2025-12-11 13:21:09,724</t>
  </si>
  <si>
    <t>/workspace/outputs/result_19_20251211_132109.pt</t>
  </si>
  <si>
    <t>/workspace/outputs/eval_19_20251211_134741</t>
  </si>
  <si>
    <t>/workspace/outputs/eval_19_20251211_134741/reconstructed_molecules</t>
  </si>
  <si>
    <t>2025-12-11 13:22:08,785</t>
  </si>
  <si>
    <t>/workspace/outputs/result_20_20251211_132208.pt</t>
  </si>
  <si>
    <t>/workspace/outputs/eval_20_20251211_134741</t>
  </si>
  <si>
    <t>/workspace/outputs/eval_20_20251211_134741/reconstructed_molecules</t>
  </si>
  <si>
    <t>2025-12-11 13:15:56,885</t>
  </si>
  <si>
    <t>/workspace/outputs/result_21_20251211_131556.pt</t>
  </si>
  <si>
    <t>/workspace/outputs/eval_21_20251211_134741</t>
  </si>
  <si>
    <t>/workspace/outputs/eval_21_20251211_134741/reconstructed_molecules</t>
  </si>
  <si>
    <t>2025-12-11 13:17:01,574</t>
  </si>
  <si>
    <t>/workspace/outputs/result_22_20251211_131701.pt</t>
  </si>
  <si>
    <t>/workspace/outputs/eval_22_20251211_134741</t>
  </si>
  <si>
    <t>/workspace/outputs/eval_22_20251211_134741/reconstructed_molecules</t>
  </si>
  <si>
    <t>2025-12-11 13:18:06,246</t>
  </si>
  <si>
    <t>/workspace/outputs/result_23_20251211_131806.pt</t>
  </si>
  <si>
    <t>/workspace/outputs/eval_23_20251211_134741</t>
  </si>
  <si>
    <t>/workspace/outputs/eval_23_20251211_134741/reconstructed_molecules</t>
  </si>
  <si>
    <t>2025-12-11 13:19:09,219</t>
  </si>
  <si>
    <t>/workspace/outputs/result_24_20251211_131909.pt</t>
  </si>
  <si>
    <t>/workspace/outputs/eval_24_20251211_134741</t>
  </si>
  <si>
    <t>/workspace/outputs/eval_24_20251211_134741/reconstructed_molecules</t>
  </si>
  <si>
    <t>2025-12-11 13:20:10,150</t>
  </si>
  <si>
    <t>/workspace/outputs/result_25_20251211_132009.pt</t>
  </si>
  <si>
    <t>/workspace/outputs/eval_25_20251211_134741</t>
  </si>
  <si>
    <t>/workspace/outputs/eval_25_20251211_134741/reconstructed_molecules</t>
  </si>
  <si>
    <t>2025-12-11 13:21:14,971</t>
  </si>
  <si>
    <t>/workspace/outputs/result_26_20251211_132114.pt</t>
  </si>
  <si>
    <t>/workspace/outputs/eval_26_20251211_134741</t>
  </si>
  <si>
    <t>/workspace/outputs/eval_26_20251211_134741/reconstructed_molecules</t>
  </si>
  <si>
    <t>2025-12-11 13:22:18,418</t>
  </si>
  <si>
    <t>/workspace/outputs/result_27_20251211_132218.pt</t>
  </si>
  <si>
    <t>/workspace/outputs/eval_27_20251211_134741</t>
  </si>
  <si>
    <t>/workspace/outputs/eval_27_20251211_134741/reconstructed_molecules</t>
  </si>
  <si>
    <t>2025-12-11 13:23:41,783</t>
  </si>
  <si>
    <t>/workspace/outputs/result_28_20251211_132341.pt</t>
  </si>
  <si>
    <t>/workspace/outputs/eval_28_20251211_134741</t>
  </si>
  <si>
    <t>/workspace/outputs/eval_28_20251211_134741/reconstructed_molecules</t>
  </si>
  <si>
    <t>2025-12-11 13:25:18,990</t>
  </si>
  <si>
    <t>/workspace/outputs/result_29_20251211_132518.pt</t>
  </si>
  <si>
    <t>/workspace/outputs/eval_29_20251211_134741</t>
  </si>
  <si>
    <t>/workspace/outputs/eval_29_20251211_134741/reconstructed_molecules</t>
  </si>
  <si>
    <t>2025-12-11 13:26:55,328</t>
  </si>
  <si>
    <t>/workspace/outputs/result_30_20251211_132655.pt</t>
  </si>
  <si>
    <t>/workspace/outputs/eval_30_20251211_134741</t>
  </si>
  <si>
    <t>/workspace/outputs/eval_30_20251211_134741/reconstructed_molecules</t>
  </si>
  <si>
    <t>2025-12-11 13:27:58,616</t>
  </si>
  <si>
    <t>/workspace/outputs/result_31_20251211_132758.pt</t>
  </si>
  <si>
    <t>/workspace/outputs/eval_31_20251211_134741</t>
  </si>
  <si>
    <t>/workspace/outputs/eval_31_20251211_134741/reconstructed_molecules</t>
  </si>
  <si>
    <t>2025-12-11 13:29:52,806</t>
  </si>
  <si>
    <t>/workspace/outputs/result_32_20251211_132952.pt</t>
  </si>
  <si>
    <t>/workspace/outputs/eval_32_20251211_134741</t>
  </si>
  <si>
    <t>/workspace/outputs/eval_32_20251211_134741/reconstructed_molecules</t>
  </si>
  <si>
    <t>2025-12-11 13:30:55,728</t>
  </si>
  <si>
    <t>/workspace/outputs/result_33_20251211_133055.pt</t>
  </si>
  <si>
    <t>/workspace/outputs/eval_33_20251211_134741</t>
  </si>
  <si>
    <t>/workspace/outputs/eval_33_20251211_134741/reconstructed_molecules</t>
  </si>
  <si>
    <t>2025-12-11 13:31:54,944</t>
  </si>
  <si>
    <t>/workspace/outputs/result_34_20251211_133154.pt</t>
  </si>
  <si>
    <t>/workspace/outputs/eval_34_20251211_134741</t>
  </si>
  <si>
    <t>/workspace/outputs/eval_34_20251211_134741/reconstructed_molecules</t>
  </si>
  <si>
    <t>2025-12-11 13:23:49,007</t>
  </si>
  <si>
    <t>/workspace/outputs/result_36_20251211_132348.pt</t>
  </si>
  <si>
    <t>/workspace/outputs/eval_36_20251211_134741</t>
  </si>
  <si>
    <t>/workspace/outputs/eval_36_20251211_134741/reconstructed_molecules</t>
  </si>
  <si>
    <t>2025-12-11 13:25:27,216</t>
  </si>
  <si>
    <t>/workspace/outputs/result_37_20251211_132527.pt</t>
  </si>
  <si>
    <t>/workspace/outputs/eval_37_20251211_134741</t>
  </si>
  <si>
    <t>/workspace/outputs/eval_37_20251211_134741/reconstructed_molecules</t>
  </si>
  <si>
    <t>2025-12-11 13:27:07,042</t>
  </si>
  <si>
    <t>/workspace/outputs/result_38_20251211_132706.pt</t>
  </si>
  <si>
    <t>/workspace/outputs/eval_38_20251211_134741</t>
  </si>
  <si>
    <t>/workspace/outputs/eval_38_20251211_134741/reconstructed_molecules</t>
  </si>
  <si>
    <t>2025-12-11 13:28:33,541</t>
  </si>
  <si>
    <t>/workspace/outputs/result_40_20251211_132833.pt</t>
  </si>
  <si>
    <t>/workspace/outputs/eval_40_20251211_134741</t>
  </si>
  <si>
    <t>/workspace/outputs/eval_40_20251211_134741/reconstructed_molecules</t>
  </si>
  <si>
    <t>2025-12-11 13:23:18,697</t>
  </si>
  <si>
    <t>/workspace/outputs/result_42_20251211_132318.pt</t>
  </si>
  <si>
    <t>/workspace/outputs/eval_42_20251211_134741</t>
  </si>
  <si>
    <t>/workspace/outputs/eval_42_20251211_134741/reconstructed_molecules</t>
  </si>
  <si>
    <t>2025-12-11 13:24:21,152</t>
  </si>
  <si>
    <t>/workspace/outputs/result_43_20251211_132421.pt</t>
  </si>
  <si>
    <t>/workspace/outputs/eval_43_20251211_134741</t>
  </si>
  <si>
    <t>/workspace/outputs/eval_43_20251211_134741/reconstructed_molecules</t>
  </si>
  <si>
    <t>2025-12-11 13:25:23,998</t>
  </si>
  <si>
    <t>/workspace/outputs/result_44_20251211_132523.pt</t>
  </si>
  <si>
    <t>/workspace/outputs/eval_44_20251211_134741</t>
  </si>
  <si>
    <t>/workspace/outputs/eval_44_20251211_134741/reconstructed_molecules</t>
  </si>
  <si>
    <t>2025-12-11 13:26:25,883</t>
  </si>
  <si>
    <t>/workspace/outputs/result_45_20251211_132625.pt</t>
  </si>
  <si>
    <t>/workspace/outputs/eval_45_20251211_134741</t>
  </si>
  <si>
    <t>/workspace/outputs/eval_45_20251211_134741/reconstructed_molecules</t>
  </si>
  <si>
    <t>2025-12-11 13:27:51,429</t>
  </si>
  <si>
    <t>/workspace/outputs/result_46_20251211_132751.pt</t>
  </si>
  <si>
    <t>/workspace/outputs/eval_46_20251211_134741</t>
  </si>
  <si>
    <t>/workspace/outputs/eval_46_20251211_134741/reconstructed_molecules</t>
  </si>
  <si>
    <t>2025-12-11 13:23:21,322</t>
  </si>
  <si>
    <t>/workspace/outputs/result_49_20251211_132321.pt</t>
  </si>
  <si>
    <t>/workspace/outputs/eval_49_20251211_134741</t>
  </si>
  <si>
    <t>/workspace/outputs/eval_49_20251211_134741/reconstructed_molecules</t>
  </si>
  <si>
    <t>2025-12-11 13:24:21,699</t>
  </si>
  <si>
    <t>/workspace/outputs/result_50_20251211_132421.pt</t>
  </si>
  <si>
    <t>/workspace/outputs/eval_50_20251211_134741</t>
  </si>
  <si>
    <t>/workspace/outputs/eval_50_20251211_134741/reconstructed_molecules</t>
  </si>
  <si>
    <t>2025-12-11 13:25:25,504</t>
  </si>
  <si>
    <t>/workspace/outputs/result_51_20251211_132525.pt</t>
  </si>
  <si>
    <t>/workspace/outputs/eval_51_20251211_134741</t>
  </si>
  <si>
    <t>/workspace/outputs/eval_51_20251211_134741/reconstructed_molecules</t>
  </si>
  <si>
    <t>2025-12-11 13:26:25,541</t>
  </si>
  <si>
    <t>/workspace/outputs/result_52_20251211_132625.pt</t>
  </si>
  <si>
    <t>/workspace/outputs/eval_52_20251211_134741</t>
  </si>
  <si>
    <t>/workspace/outputs/eval_52_20251211_134741/reconstructed_molecules</t>
  </si>
  <si>
    <t>2025-12-11 13:27:28,449</t>
  </si>
  <si>
    <t>/workspace/outputs/result_53_20251211_132728.pt</t>
  </si>
  <si>
    <t>/workspace/outputs/eval_53_20251211_134741</t>
  </si>
  <si>
    <t>/workspace/outputs/eval_53_20251211_134741/reconstructed_molecules</t>
  </si>
  <si>
    <t>2025-12-11 13:28:36,559</t>
  </si>
  <si>
    <t>/workspace/outputs/result_54_20251211_132836.pt</t>
  </si>
  <si>
    <t>/workspace/outputs/eval_54_20251211_134741</t>
  </si>
  <si>
    <t>/workspace/outputs/eval_54_20251211_134741/reconstructed_molecules</t>
  </si>
  <si>
    <t>2025-12-11 15:39:37,494</t>
  </si>
  <si>
    <t>/workspace/outputs/result_55_20251211_153937.pt</t>
  </si>
  <si>
    <t>/workspace/outputs/eval_55_20251211_153939</t>
  </si>
  <si>
    <t>/workspace/outputs/eval_55_20251211_153939/reconstructed_molecules</t>
  </si>
  <si>
    <t>2025-12-11 13:30:42,831</t>
  </si>
  <si>
    <t>/workspace/outputs/result_56_20251211_133042.pt</t>
  </si>
  <si>
    <t>/workspace/outputs/eval_56_20251211_134741</t>
  </si>
  <si>
    <t>/workspace/outputs/eval_56_20251211_134741/reconstructed_molecules</t>
  </si>
  <si>
    <t>2025-12-11 13:31:48,553</t>
  </si>
  <si>
    <t>/workspace/outputs/result_57_20251211_133148.pt</t>
  </si>
  <si>
    <t>/workspace/outputs/eval_57_20251211_134741</t>
  </si>
  <si>
    <t>/workspace/outputs/eval_57_20251211_134741/reconstructed_molecules</t>
  </si>
  <si>
    <t>2025-12-11 13:32:55,019</t>
  </si>
  <si>
    <t>/workspace/outputs/result_58_20251211_133254.pt</t>
  </si>
  <si>
    <t>/workspace/outputs/eval_58_20251211_134741</t>
  </si>
  <si>
    <t>/workspace/outputs/eval_58_20251211_134741/reconstructed_molecules</t>
  </si>
  <si>
    <t>2025-12-11 13:33:59,459</t>
  </si>
  <si>
    <t>/workspace/outputs/result_59_20251211_133359.pt</t>
  </si>
  <si>
    <t>/workspace/outputs/eval_59_20251211_134741</t>
  </si>
  <si>
    <t>/workspace/outputs/eval_59_20251211_134741/reconstructed_molecules</t>
  </si>
  <si>
    <t>2025-12-11 13:35:06,127</t>
  </si>
  <si>
    <t>/workspace/outputs/result_60_20251211_133505.pt</t>
  </si>
  <si>
    <t>/workspace/outputs/eval_60_20251211_134741</t>
  </si>
  <si>
    <t>/workspace/outputs/eval_60_20251211_134741/reconstructed_molecules</t>
  </si>
  <si>
    <t>2025-12-11 13:36:06,265</t>
  </si>
  <si>
    <t>/workspace/outputs/result_61_20251211_133606.pt</t>
  </si>
  <si>
    <t>/workspace/outputs/eval_61_20251211_134741</t>
  </si>
  <si>
    <t>/workspace/outputs/eval_61_20251211_134741/reconstructed_molecules</t>
  </si>
  <si>
    <t>2025-12-11 13:37:11,198</t>
  </si>
  <si>
    <t>/workspace/outputs/result_62_20251211_133711.pt</t>
  </si>
  <si>
    <t>/workspace/outputs/eval_62_20251211_134741</t>
  </si>
  <si>
    <t>/workspace/outputs/eval_62_20251211_134741/reconstructed_molecules</t>
  </si>
  <si>
    <t>2025-12-11 13:30:38,218</t>
  </si>
  <si>
    <t>/workspace/outputs/result_63_20251211_133038.pt</t>
  </si>
  <si>
    <t>/workspace/outputs/eval_63_20251211_134741</t>
  </si>
  <si>
    <t>/workspace/outputs/eval_63_20251211_134741/reconstructed_molecules</t>
  </si>
  <si>
    <t>2025-12-11 13:31:38,389</t>
  </si>
  <si>
    <t>/workspace/outputs/result_64_20251211_133138.pt</t>
  </si>
  <si>
    <t>/workspace/outputs/eval_64_20251211_134741</t>
  </si>
  <si>
    <t>/workspace/outputs/eval_64_20251211_134741/reconstructed_molecules</t>
  </si>
  <si>
    <t>2025-12-11 13:33:10,225</t>
  </si>
  <si>
    <t>/workspace/outputs/result_65_20251211_133310.pt</t>
  </si>
  <si>
    <t>/workspace/outputs/eval_65_20251211_134741</t>
  </si>
  <si>
    <t>/workspace/outputs/eval_65_20251211_134741/reconstructed_molecules</t>
  </si>
  <si>
    <t>2025-12-11 16:05:03,665</t>
  </si>
  <si>
    <t>/workspace/outputs/result_66_20251211_160503.pt</t>
  </si>
  <si>
    <t>/workspace/outputs/eval_66_20251211_160505</t>
  </si>
  <si>
    <t>/workspace/outputs/eval_66_20251211_160505/reconstructed_molecules</t>
  </si>
  <si>
    <t>2025-12-11 13:35:53,866</t>
  </si>
  <si>
    <t>/workspace/outputs/result_67_20251211_133553.pt</t>
  </si>
  <si>
    <t>/workspace/outputs/eval_67_20251211_134818</t>
  </si>
  <si>
    <t>/workspace/outputs/eval_67_20251211_134818/reconstructed_molecules</t>
  </si>
  <si>
    <t>2025-12-11 13:38:18,108</t>
  </si>
  <si>
    <t>/workspace/outputs/result_68_20251211_133817.pt</t>
  </si>
  <si>
    <t>/workspace/outputs/eval_68_20251211_135433</t>
  </si>
  <si>
    <t>/workspace/outputs/eval_68_20251211_135433/reconstructed_molecules</t>
  </si>
  <si>
    <t>2025-12-11 13:39:41,898</t>
  </si>
  <si>
    <t>/workspace/outputs/result_69_20251211_133941.pt</t>
  </si>
  <si>
    <t>/workspace/outputs/eval_69_20251211_135510</t>
  </si>
  <si>
    <t>/workspace/outputs/eval_69_20251211_135510/reconstructed_molecules</t>
  </si>
  <si>
    <t>2025-12-11 13:30:56,960</t>
  </si>
  <si>
    <t>/workspace/outputs/result_70_20251211_133056.pt</t>
  </si>
  <si>
    <t>/workspace/outputs/eval_70_20251211_135512</t>
  </si>
  <si>
    <t>/workspace/outputs/eval_70_20251211_135512/reconstructed_molecules</t>
  </si>
  <si>
    <t>2025-12-11 13:31:57,139</t>
  </si>
  <si>
    <t>/workspace/outputs/result_71_20251211_133157.pt</t>
  </si>
  <si>
    <t>/workspace/outputs/eval_71_20251211_135824</t>
  </si>
  <si>
    <t>/workspace/outputs/eval_71_20251211_135824/reconstructed_molecules</t>
  </si>
  <si>
    <t>2025-12-11 13:33:01,411</t>
  </si>
  <si>
    <t>/workspace/outputs/result_72_20251211_133301.pt</t>
  </si>
  <si>
    <t>/workspace/outputs/eval_72_20251211_135938</t>
  </si>
  <si>
    <t>/workspace/outputs/eval_72_20251211_135938/reconstructed_molecules</t>
  </si>
  <si>
    <t>2025-12-11 13:34:16,708</t>
  </si>
  <si>
    <t>/workspace/outputs/result_73_20251211_133416.pt</t>
  </si>
  <si>
    <t>/workspace/outputs/eval_73_20251211_140013</t>
  </si>
  <si>
    <t>/workspace/outputs/eval_73_20251211_140013/reconstructed_molecules</t>
  </si>
  <si>
    <t>2025-12-11 13:35:41,594</t>
  </si>
  <si>
    <t>/workspace/outputs/result_74_20251211_133541.pt</t>
  </si>
  <si>
    <t>/workspace/outputs/eval_74_20251211_140122</t>
  </si>
  <si>
    <t>/workspace/outputs/eval_74_20251211_140122/reconstructed_molecules</t>
  </si>
  <si>
    <t>2025-12-11 13:37:51,829</t>
  </si>
  <si>
    <t>/workspace/outputs/result_76_20251211_133751.pt</t>
  </si>
  <si>
    <t>/workspace/outputs/eval_76_20251211_140145</t>
  </si>
  <si>
    <t>/workspace/outputs/eval_76_20251211_140145/reconstructed_molecules</t>
  </si>
  <si>
    <t>2025-12-11 13:33:34,102</t>
  </si>
  <si>
    <t>/workspace/outputs/result_77_20251211_133333.pt</t>
  </si>
  <si>
    <t>/workspace/outputs/eval_77_20251211_140204</t>
  </si>
  <si>
    <t>/workspace/outputs/eval_77_20251211_140204/reconstructed_molecules</t>
  </si>
  <si>
    <t>2025-12-11 13:35:14,787</t>
  </si>
  <si>
    <t>/workspace/outputs/result_78_20251211_133514.pt</t>
  </si>
  <si>
    <t>/workspace/outputs/eval_78_20251211_140320</t>
  </si>
  <si>
    <t>/workspace/outputs/eval_78_20251211_140320/reconstructed_molecules</t>
  </si>
  <si>
    <t>2025-12-11 13:36:29,465</t>
  </si>
  <si>
    <t>/workspace/outputs/result_79_20251211_133629.pt</t>
  </si>
  <si>
    <t>/workspace/outputs/eval_79_20251211_140401</t>
  </si>
  <si>
    <t>/workspace/outputs/eval_79_20251211_140401/reconstructed_molecules</t>
  </si>
  <si>
    <t>2025-12-11 13:38:53,916</t>
  </si>
  <si>
    <t>/workspace/outputs/result_80_20251211_133853.pt</t>
  </si>
  <si>
    <t>/workspace/outputs/eval_80_20251211_140629</t>
  </si>
  <si>
    <t>/workspace/outputs/eval_80_20251211_140629/reconstructed_molecules</t>
  </si>
  <si>
    <t>2025-12-11 13:41:13,835</t>
  </si>
  <si>
    <t>/workspace/outputs/result_81_20251211_134113.pt</t>
  </si>
  <si>
    <t>/workspace/outputs/eval_81_20251211_140733</t>
  </si>
  <si>
    <t>/workspace/outputs/eval_81_20251211_140733/reconstructed_molecules</t>
  </si>
  <si>
    <t>2025-12-11 13:42:50,783</t>
  </si>
  <si>
    <t>/workspace/outputs/result_82_20251211_134250.pt</t>
  </si>
  <si>
    <t>/workspace/outputs/eval_82_20251211_140808</t>
  </si>
  <si>
    <t>/workspace/outputs/eval_82_20251211_140808/reconstructed_molecules</t>
  </si>
  <si>
    <t>2025-12-11 13:43:56,891</t>
  </si>
  <si>
    <t>/workspace/outputs/result_83_20251211_134356.pt</t>
  </si>
  <si>
    <t>/workspace/outputs/eval_83_20251211_140845</t>
  </si>
  <si>
    <t>/workspace/outputs/eval_83_20251211_140845/reconstructed_molecules</t>
  </si>
  <si>
    <t>2025-12-11 13:39:18,943</t>
  </si>
  <si>
    <t>/workspace/outputs/result_84_20251211_133918.pt</t>
  </si>
  <si>
    <t>/workspace/outputs/eval_84_20251211_140909</t>
  </si>
  <si>
    <t>/workspace/outputs/eval_84_20251211_140909/reconstructed_molecules</t>
  </si>
  <si>
    <t>2025-12-11 13:41:41,414</t>
  </si>
  <si>
    <t>/workspace/outputs/result_85_20251211_134141.pt</t>
  </si>
  <si>
    <t>/workspace/outputs/eval_85_20251211_140936</t>
  </si>
  <si>
    <t>/workspace/outputs/eval_85_20251211_140936/reconstructed_molecules</t>
  </si>
  <si>
    <t>2025-12-11 13:43:32,806</t>
  </si>
  <si>
    <t>/workspace/outputs/result_86_20251211_134332.pt</t>
  </si>
  <si>
    <t>/workspace/outputs/eval_86_20251211_141030</t>
  </si>
  <si>
    <t>/workspace/outputs/eval_86_20251211_141030/reconstructed_molecules</t>
  </si>
  <si>
    <t>2025-12-11 13:45:10,435</t>
  </si>
  <si>
    <t>/workspace/outputs/result_88_20251211_134510.pt</t>
  </si>
  <si>
    <t>/workspace/outputs/eval_88_20251211_141052</t>
  </si>
  <si>
    <t>/workspace/outputs/eval_88_20251211_141052/reconstructed_molecules</t>
  </si>
  <si>
    <t>2025-12-11 13:46:42,604</t>
  </si>
  <si>
    <t>/workspace/outputs/result_89_20251211_134642.pt</t>
  </si>
  <si>
    <t>/workspace/outputs/eval_89_20251211_141138</t>
  </si>
  <si>
    <t>/workspace/outputs/eval_89_20251211_141138/reconstructed_molecules</t>
  </si>
  <si>
    <t>2025-12-11 13:47:39,256</t>
  </si>
  <si>
    <t>/workspace/outputs/result_90_20251211_134739.pt</t>
  </si>
  <si>
    <t>/workspace/outputs/eval_90_20251211_141159</t>
  </si>
  <si>
    <t>/workspace/outputs/eval_90_20251211_141159/reconstructed_molecules</t>
  </si>
  <si>
    <t>2025-12-11 13:38:53,109</t>
  </si>
  <si>
    <t>/workspace/outputs/result_91_20251211_133852.pt</t>
  </si>
  <si>
    <t>/workspace/outputs/eval_91_20251211_141222</t>
  </si>
  <si>
    <t>/workspace/outputs/eval_91_20251211_141222/reconstructed_molecules</t>
  </si>
  <si>
    <t>2025-12-11 13:40:06,770</t>
  </si>
  <si>
    <t>/workspace/outputs/result_92_20251211_134006.pt</t>
  </si>
  <si>
    <t>/workspace/outputs/eval_92_20251211_141444</t>
  </si>
  <si>
    <t>/workspace/outputs/eval_92_20251211_141444/reconstructed_molecules</t>
  </si>
  <si>
    <t>2025-12-11 13:42:01,897</t>
  </si>
  <si>
    <t>/workspace/outputs/result_93_20251211_134201.pt</t>
  </si>
  <si>
    <t>/workspace/outputs/eval_93_20251211_141704</t>
  </si>
  <si>
    <t>/workspace/outputs/eval_93_20251211_141704/reconstructed_molecules</t>
  </si>
  <si>
    <t>2025-12-11 13:43:44,214</t>
  </si>
  <si>
    <t>/workspace/outputs/result_94_20251211_134344.pt</t>
  </si>
  <si>
    <t>/workspace/outputs/eval_94_20251211_141713</t>
  </si>
  <si>
    <t>/workspace/outputs/eval_94_20251211_141713/reconstructed_molecules</t>
  </si>
  <si>
    <t>2025-12-11 13:45:21,536</t>
  </si>
  <si>
    <t>/workspace/outputs/result_96_20251211_134521.pt</t>
  </si>
  <si>
    <t>/workspace/outputs/eval_96_20251211_141857</t>
  </si>
  <si>
    <t>/workspace/outputs/eval_96_20251211_141857/reconstructed_molecules</t>
  </si>
  <si>
    <t>2025-12-11 13:46:53,242</t>
  </si>
  <si>
    <t>/workspace/outputs/result_97_20251211_134653.pt</t>
  </si>
  <si>
    <t>/workspace/outputs/eval_97_20251211_141929</t>
  </si>
  <si>
    <t>/workspace/outputs/eval_97_20251211_141929/reconstructed_molecules</t>
  </si>
  <si>
    <t>2025-12-11 13:40:45,209</t>
  </si>
  <si>
    <t>/workspace/outputs/result_98_20251211_134045.pt</t>
  </si>
  <si>
    <t>/workspace/outputs/eval_98_20251211_142228</t>
  </si>
  <si>
    <t>/workspace/outputs/eval_98_20251211_142228/reconstructed_molecules</t>
  </si>
  <si>
    <t>2025-12-11 13:41:49,312</t>
  </si>
  <si>
    <t>/workspace/outputs/result_99_20251211_134149.pt</t>
  </si>
  <si>
    <t>/workspace/outputs/eval_99_20251211_142247</t>
  </si>
  <si>
    <t>/workspace/outputs/eval_99_20251211_142247/reconstructed_molecules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</si>
</sst>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98"/>
  <sheetViews>
    <sheetView tabSelected="1" topLeftCell="A13" workbookViewId="0">
      <selection activeCell="M100" sqref="M100"/>
    </sheetView>
  </sheetViews>
  <sheetFormatPr defaultColWidth="9" defaultRowHeight="13.5"/>
  <cols>
    <col min="7" max="8" width="12.625"/>
    <col min="10" max="10" width="12.625"/>
    <col min="13" max="13" width="9.375"/>
    <col min="16" max="16" width="13.75"/>
    <col min="17" max="17" width="9.375"/>
  </cols>
  <sheetData>
    <row r="1" spans="1:7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c r="A2" t="s">
        <v>70</v>
      </c>
      <c r="B2" t="s">
        <v>71</v>
      </c>
      <c r="C2" t="s">
        <v>72</v>
      </c>
      <c r="D2" t="s">
        <v>73</v>
      </c>
      <c r="E2" t="s">
        <v>74</v>
      </c>
      <c r="F2">
        <v>0</v>
      </c>
      <c r="G2">
        <v>0.281960260584054</v>
      </c>
      <c r="H2">
        <v>0.309343177449793</v>
      </c>
      <c r="I2">
        <v>0.55</v>
      </c>
      <c r="J2">
        <v>0.55234375</v>
      </c>
      <c r="K2" t="s">
        <v>75</v>
      </c>
      <c r="L2" t="s">
        <v>76</v>
      </c>
      <c r="M2">
        <v>-8.826</v>
      </c>
      <c r="N2">
        <v>75</v>
      </c>
      <c r="O2">
        <f>PRODUCT(N2,64)*0.01</f>
        <v>48</v>
      </c>
      <c r="P2">
        <v>-9.09958333333333</v>
      </c>
      <c r="Q2">
        <f>PRODUCT(O2,P2)</f>
        <v>-436.78</v>
      </c>
      <c r="R2">
        <v>-12.461</v>
      </c>
      <c r="S2">
        <v>100</v>
      </c>
      <c r="T2" t="s">
        <v>77</v>
      </c>
      <c r="U2" t="s">
        <v>78</v>
      </c>
      <c r="V2">
        <v>0</v>
      </c>
      <c r="W2" t="s">
        <v>79</v>
      </c>
      <c r="X2">
        <v>2</v>
      </c>
      <c r="Y2">
        <v>1</v>
      </c>
      <c r="Z2" t="b">
        <v>1</v>
      </c>
      <c r="AA2" t="s">
        <v>80</v>
      </c>
      <c r="AB2" t="s">
        <v>81</v>
      </c>
      <c r="AC2" t="b">
        <v>0</v>
      </c>
      <c r="AD2" t="s">
        <v>82</v>
      </c>
      <c r="AE2">
        <v>8</v>
      </c>
      <c r="AF2">
        <v>1</v>
      </c>
      <c r="AG2">
        <v>8</v>
      </c>
      <c r="AH2">
        <v>80</v>
      </c>
      <c r="AI2">
        <v>20</v>
      </c>
      <c r="AJ2">
        <v>20</v>
      </c>
      <c r="AK2">
        <v>30</v>
      </c>
      <c r="AL2">
        <v>2</v>
      </c>
      <c r="AM2">
        <v>0</v>
      </c>
      <c r="AN2" t="s">
        <v>83</v>
      </c>
      <c r="AO2">
        <v>1</v>
      </c>
      <c r="AP2">
        <v>15</v>
      </c>
      <c r="AQ2">
        <v>750</v>
      </c>
      <c r="AR2" t="s">
        <v>84</v>
      </c>
      <c r="AS2">
        <v>1</v>
      </c>
      <c r="AT2">
        <v>40</v>
      </c>
      <c r="AU2">
        <v>5</v>
      </c>
      <c r="AV2">
        <v>5</v>
      </c>
      <c r="AW2">
        <v>20</v>
      </c>
      <c r="AX2">
        <v>4</v>
      </c>
      <c r="AY2">
        <v>0</v>
      </c>
      <c r="AZ2" t="s">
        <v>83</v>
      </c>
      <c r="BA2">
        <v>0.2</v>
      </c>
      <c r="BB2">
        <v>8</v>
      </c>
      <c r="BC2">
        <v>0</v>
      </c>
      <c r="BD2">
        <v>750</v>
      </c>
      <c r="BE2" t="b">
        <v>0</v>
      </c>
      <c r="BF2">
        <v>6</v>
      </c>
      <c r="BG2">
        <v>0</v>
      </c>
      <c r="BH2">
        <v>1</v>
      </c>
      <c r="BI2">
        <v>1</v>
      </c>
      <c r="BJ2">
        <v>16</v>
      </c>
      <c r="BK2" t="s">
        <v>73</v>
      </c>
      <c r="BL2">
        <v>200</v>
      </c>
      <c r="BM2">
        <v>1000</v>
      </c>
      <c r="BN2" t="b">
        <v>0</v>
      </c>
      <c r="BO2" t="s">
        <v>85</v>
      </c>
      <c r="BP2">
        <v>2021</v>
      </c>
      <c r="BQ2" t="s">
        <v>86</v>
      </c>
      <c r="BR2" t="s">
        <v>87</v>
      </c>
    </row>
    <row r="3" spans="1:70">
      <c r="A3" t="s">
        <v>88</v>
      </c>
      <c r="B3" t="s">
        <v>71</v>
      </c>
      <c r="C3" t="s">
        <v>89</v>
      </c>
      <c r="D3" t="s">
        <v>73</v>
      </c>
      <c r="E3" t="s">
        <v>74</v>
      </c>
      <c r="F3">
        <v>1</v>
      </c>
      <c r="G3">
        <v>0.54238980478083</v>
      </c>
      <c r="H3">
        <v>0.540987380099516</v>
      </c>
      <c r="I3">
        <v>0.68</v>
      </c>
      <c r="J3">
        <v>0.691269841269841</v>
      </c>
      <c r="K3" t="s">
        <v>75</v>
      </c>
      <c r="L3" t="s">
        <v>90</v>
      </c>
      <c r="M3">
        <v>-6.748</v>
      </c>
      <c r="N3">
        <v>23.4375</v>
      </c>
      <c r="O3">
        <f t="shared" ref="O3:O34" si="0">PRODUCT(N3,64)*0.01</f>
        <v>15</v>
      </c>
      <c r="P3">
        <v>-6.4658</v>
      </c>
      <c r="Q3">
        <f t="shared" ref="Q3:Q34" si="1">PRODUCT(O3,P3)</f>
        <v>-96.987</v>
      </c>
      <c r="R3">
        <v>-7.737</v>
      </c>
      <c r="S3">
        <v>98.4375</v>
      </c>
      <c r="T3" t="s">
        <v>77</v>
      </c>
      <c r="U3" t="s">
        <v>78</v>
      </c>
      <c r="V3">
        <v>0</v>
      </c>
      <c r="W3" t="s">
        <v>79</v>
      </c>
      <c r="X3">
        <v>2</v>
      </c>
      <c r="Y3">
        <v>1</v>
      </c>
      <c r="Z3" t="b">
        <v>1</v>
      </c>
      <c r="AA3" t="s">
        <v>80</v>
      </c>
      <c r="AB3" t="s">
        <v>81</v>
      </c>
      <c r="AC3" t="b">
        <v>0</v>
      </c>
      <c r="AD3" t="s">
        <v>82</v>
      </c>
      <c r="AE3">
        <v>8</v>
      </c>
      <c r="AF3">
        <v>1</v>
      </c>
      <c r="AG3">
        <v>8</v>
      </c>
      <c r="AH3">
        <v>80</v>
      </c>
      <c r="AI3">
        <v>20</v>
      </c>
      <c r="AJ3">
        <v>20</v>
      </c>
      <c r="AK3">
        <v>30</v>
      </c>
      <c r="AL3">
        <v>2</v>
      </c>
      <c r="AM3">
        <v>0</v>
      </c>
      <c r="AN3" t="s">
        <v>83</v>
      </c>
      <c r="AO3">
        <v>1</v>
      </c>
      <c r="AP3">
        <v>15</v>
      </c>
      <c r="AQ3">
        <v>750</v>
      </c>
      <c r="AR3" t="s">
        <v>84</v>
      </c>
      <c r="AS3">
        <v>1</v>
      </c>
      <c r="AT3">
        <v>40</v>
      </c>
      <c r="AU3">
        <v>5</v>
      </c>
      <c r="AV3">
        <v>5</v>
      </c>
      <c r="AW3">
        <v>20</v>
      </c>
      <c r="AX3">
        <v>4</v>
      </c>
      <c r="AY3">
        <v>0</v>
      </c>
      <c r="AZ3" t="s">
        <v>83</v>
      </c>
      <c r="BA3">
        <v>0.2</v>
      </c>
      <c r="BB3">
        <v>8</v>
      </c>
      <c r="BC3">
        <v>0</v>
      </c>
      <c r="BD3">
        <v>750</v>
      </c>
      <c r="BE3" t="b">
        <v>0</v>
      </c>
      <c r="BF3">
        <v>6</v>
      </c>
      <c r="BG3">
        <v>0</v>
      </c>
      <c r="BH3">
        <v>1</v>
      </c>
      <c r="BI3">
        <v>1</v>
      </c>
      <c r="BJ3">
        <v>16</v>
      </c>
      <c r="BK3" t="s">
        <v>73</v>
      </c>
      <c r="BL3">
        <v>200</v>
      </c>
      <c r="BM3">
        <v>1000</v>
      </c>
      <c r="BN3" t="b">
        <v>0</v>
      </c>
      <c r="BO3" t="s">
        <v>85</v>
      </c>
      <c r="BP3">
        <v>2021</v>
      </c>
      <c r="BQ3" t="s">
        <v>86</v>
      </c>
      <c r="BR3" t="s">
        <v>91</v>
      </c>
    </row>
    <row r="4" spans="1:70">
      <c r="A4" t="s">
        <v>92</v>
      </c>
      <c r="B4" t="s">
        <v>71</v>
      </c>
      <c r="C4" t="s">
        <v>93</v>
      </c>
      <c r="D4" t="s">
        <v>73</v>
      </c>
      <c r="E4" t="s">
        <v>74</v>
      </c>
      <c r="F4">
        <v>2</v>
      </c>
      <c r="G4">
        <v>0.341732943577692</v>
      </c>
      <c r="H4">
        <v>0.339402284302036</v>
      </c>
      <c r="I4">
        <v>0.57</v>
      </c>
      <c r="J4">
        <v>0.574426229508197</v>
      </c>
      <c r="K4" t="s">
        <v>75</v>
      </c>
      <c r="L4" t="s">
        <v>94</v>
      </c>
      <c r="M4">
        <v>-7.4695</v>
      </c>
      <c r="N4">
        <v>81.25</v>
      </c>
      <c r="O4">
        <f t="shared" si="0"/>
        <v>52</v>
      </c>
      <c r="P4">
        <v>-8.01863461538461</v>
      </c>
      <c r="Q4">
        <f t="shared" si="1"/>
        <v>-416.969</v>
      </c>
      <c r="R4">
        <v>-11.596</v>
      </c>
      <c r="S4">
        <v>95.3125</v>
      </c>
      <c r="T4" t="s">
        <v>77</v>
      </c>
      <c r="U4" t="s">
        <v>78</v>
      </c>
      <c r="V4">
        <v>0</v>
      </c>
      <c r="W4" t="s">
        <v>79</v>
      </c>
      <c r="X4">
        <v>2</v>
      </c>
      <c r="Y4">
        <v>1</v>
      </c>
      <c r="Z4" t="b">
        <v>1</v>
      </c>
      <c r="AA4" t="s">
        <v>80</v>
      </c>
      <c r="AB4" t="s">
        <v>81</v>
      </c>
      <c r="AC4" t="b">
        <v>0</v>
      </c>
      <c r="AD4" t="s">
        <v>82</v>
      </c>
      <c r="AE4">
        <v>8</v>
      </c>
      <c r="AF4">
        <v>1</v>
      </c>
      <c r="AG4">
        <v>8</v>
      </c>
      <c r="AH4">
        <v>80</v>
      </c>
      <c r="AI4">
        <v>20</v>
      </c>
      <c r="AJ4">
        <v>20</v>
      </c>
      <c r="AK4">
        <v>30</v>
      </c>
      <c r="AL4">
        <v>2</v>
      </c>
      <c r="AM4">
        <v>0</v>
      </c>
      <c r="AN4" t="s">
        <v>83</v>
      </c>
      <c r="AO4">
        <v>1</v>
      </c>
      <c r="AP4">
        <v>15</v>
      </c>
      <c r="AQ4">
        <v>750</v>
      </c>
      <c r="AR4" t="s">
        <v>84</v>
      </c>
      <c r="AS4">
        <v>1</v>
      </c>
      <c r="AT4">
        <v>40</v>
      </c>
      <c r="AU4">
        <v>5</v>
      </c>
      <c r="AV4">
        <v>5</v>
      </c>
      <c r="AW4">
        <v>20</v>
      </c>
      <c r="AX4">
        <v>4</v>
      </c>
      <c r="AY4">
        <v>0</v>
      </c>
      <c r="AZ4" t="s">
        <v>83</v>
      </c>
      <c r="BA4">
        <v>0.2</v>
      </c>
      <c r="BB4">
        <v>8</v>
      </c>
      <c r="BC4">
        <v>0</v>
      </c>
      <c r="BD4">
        <v>750</v>
      </c>
      <c r="BE4" t="b">
        <v>0</v>
      </c>
      <c r="BF4">
        <v>6</v>
      </c>
      <c r="BG4">
        <v>0</v>
      </c>
      <c r="BH4">
        <v>1</v>
      </c>
      <c r="BI4">
        <v>1</v>
      </c>
      <c r="BJ4">
        <v>16</v>
      </c>
      <c r="BK4" t="s">
        <v>73</v>
      </c>
      <c r="BL4">
        <v>200</v>
      </c>
      <c r="BM4">
        <v>1000</v>
      </c>
      <c r="BN4" t="b">
        <v>0</v>
      </c>
      <c r="BO4" t="s">
        <v>85</v>
      </c>
      <c r="BP4">
        <v>2021</v>
      </c>
      <c r="BQ4" t="s">
        <v>86</v>
      </c>
      <c r="BR4" t="s">
        <v>95</v>
      </c>
    </row>
    <row r="5" spans="1:70">
      <c r="A5" t="s">
        <v>96</v>
      </c>
      <c r="B5" t="s">
        <v>71</v>
      </c>
      <c r="C5" t="s">
        <v>97</v>
      </c>
      <c r="D5" t="s">
        <v>73</v>
      </c>
      <c r="E5" t="s">
        <v>74</v>
      </c>
      <c r="F5">
        <v>3</v>
      </c>
      <c r="G5">
        <v>0.493136312510387</v>
      </c>
      <c r="H5">
        <v>0.498799898932871</v>
      </c>
      <c r="I5">
        <v>0.78</v>
      </c>
      <c r="J5">
        <v>0.747619047619048</v>
      </c>
      <c r="K5" t="s">
        <v>75</v>
      </c>
      <c r="L5" t="s">
        <v>98</v>
      </c>
      <c r="M5">
        <v>-5.528</v>
      </c>
      <c r="N5">
        <v>67.1875</v>
      </c>
      <c r="O5">
        <f t="shared" si="0"/>
        <v>43</v>
      </c>
      <c r="P5">
        <v>-5.783</v>
      </c>
      <c r="Q5">
        <f t="shared" si="1"/>
        <v>-248.669</v>
      </c>
      <c r="R5">
        <v>-8.167</v>
      </c>
      <c r="S5">
        <v>98.4375</v>
      </c>
      <c r="T5" t="s">
        <v>77</v>
      </c>
      <c r="U5" t="s">
        <v>78</v>
      </c>
      <c r="V5">
        <v>0</v>
      </c>
      <c r="W5" t="s">
        <v>79</v>
      </c>
      <c r="X5">
        <v>2</v>
      </c>
      <c r="Y5">
        <v>1</v>
      </c>
      <c r="Z5" t="b">
        <v>1</v>
      </c>
      <c r="AA5" t="s">
        <v>80</v>
      </c>
      <c r="AB5" t="s">
        <v>81</v>
      </c>
      <c r="AC5" t="b">
        <v>0</v>
      </c>
      <c r="AD5" t="s">
        <v>82</v>
      </c>
      <c r="AE5">
        <v>8</v>
      </c>
      <c r="AF5">
        <v>1</v>
      </c>
      <c r="AG5">
        <v>8</v>
      </c>
      <c r="AH5">
        <v>80</v>
      </c>
      <c r="AI5">
        <v>20</v>
      </c>
      <c r="AJ5">
        <v>20</v>
      </c>
      <c r="AK5">
        <v>30</v>
      </c>
      <c r="AL5">
        <v>2</v>
      </c>
      <c r="AM5">
        <v>0</v>
      </c>
      <c r="AN5" t="s">
        <v>83</v>
      </c>
      <c r="AO5">
        <v>1</v>
      </c>
      <c r="AP5">
        <v>15</v>
      </c>
      <c r="AQ5">
        <v>750</v>
      </c>
      <c r="AR5" t="s">
        <v>84</v>
      </c>
      <c r="AS5">
        <v>1</v>
      </c>
      <c r="AT5">
        <v>40</v>
      </c>
      <c r="AU5">
        <v>5</v>
      </c>
      <c r="AV5">
        <v>5</v>
      </c>
      <c r="AW5">
        <v>20</v>
      </c>
      <c r="AX5">
        <v>4</v>
      </c>
      <c r="AY5">
        <v>0</v>
      </c>
      <c r="AZ5" t="s">
        <v>83</v>
      </c>
      <c r="BA5">
        <v>0.2</v>
      </c>
      <c r="BB5">
        <v>8</v>
      </c>
      <c r="BC5">
        <v>0</v>
      </c>
      <c r="BD5">
        <v>750</v>
      </c>
      <c r="BE5" t="b">
        <v>0</v>
      </c>
      <c r="BF5">
        <v>6</v>
      </c>
      <c r="BG5">
        <v>0</v>
      </c>
      <c r="BH5">
        <v>1</v>
      </c>
      <c r="BI5">
        <v>1</v>
      </c>
      <c r="BJ5">
        <v>16</v>
      </c>
      <c r="BK5" t="s">
        <v>73</v>
      </c>
      <c r="BL5">
        <v>200</v>
      </c>
      <c r="BM5">
        <v>1000</v>
      </c>
      <c r="BN5" t="b">
        <v>0</v>
      </c>
      <c r="BO5" t="s">
        <v>85</v>
      </c>
      <c r="BP5">
        <v>2021</v>
      </c>
      <c r="BQ5" t="s">
        <v>86</v>
      </c>
      <c r="BR5" t="s">
        <v>99</v>
      </c>
    </row>
    <row r="6" spans="1:70">
      <c r="A6" t="s">
        <v>100</v>
      </c>
      <c r="B6" t="s">
        <v>71</v>
      </c>
      <c r="C6" t="s">
        <v>101</v>
      </c>
      <c r="D6" t="s">
        <v>73</v>
      </c>
      <c r="E6" t="s">
        <v>74</v>
      </c>
      <c r="F6">
        <v>4</v>
      </c>
      <c r="G6">
        <v>0.274397447712089</v>
      </c>
      <c r="H6">
        <v>0.282065239604775</v>
      </c>
      <c r="I6">
        <v>0.58</v>
      </c>
      <c r="J6">
        <v>0.551129032258065</v>
      </c>
      <c r="K6" t="s">
        <v>75</v>
      </c>
      <c r="L6" t="s">
        <v>102</v>
      </c>
      <c r="M6">
        <v>-10.514</v>
      </c>
      <c r="N6">
        <v>76.5625</v>
      </c>
      <c r="O6">
        <f t="shared" si="0"/>
        <v>49</v>
      </c>
      <c r="P6">
        <v>-10.4834897959184</v>
      </c>
      <c r="Q6">
        <f t="shared" si="1"/>
        <v>-513.691</v>
      </c>
      <c r="R6">
        <v>-15.855</v>
      </c>
      <c r="S6">
        <v>100</v>
      </c>
      <c r="T6" t="s">
        <v>77</v>
      </c>
      <c r="U6" t="s">
        <v>78</v>
      </c>
      <c r="V6">
        <v>0</v>
      </c>
      <c r="W6" t="s">
        <v>79</v>
      </c>
      <c r="X6">
        <v>2</v>
      </c>
      <c r="Y6">
        <v>1</v>
      </c>
      <c r="Z6" t="b">
        <v>1</v>
      </c>
      <c r="AA6" t="s">
        <v>80</v>
      </c>
      <c r="AB6" t="s">
        <v>81</v>
      </c>
      <c r="AC6" t="b">
        <v>0</v>
      </c>
      <c r="AD6" t="s">
        <v>82</v>
      </c>
      <c r="AE6">
        <v>8</v>
      </c>
      <c r="AF6">
        <v>1</v>
      </c>
      <c r="AG6">
        <v>8</v>
      </c>
      <c r="AH6">
        <v>80</v>
      </c>
      <c r="AI6">
        <v>20</v>
      </c>
      <c r="AJ6">
        <v>20</v>
      </c>
      <c r="AK6">
        <v>30</v>
      </c>
      <c r="AL6">
        <v>2</v>
      </c>
      <c r="AM6">
        <v>0</v>
      </c>
      <c r="AN6" t="s">
        <v>83</v>
      </c>
      <c r="AO6">
        <v>1</v>
      </c>
      <c r="AP6">
        <v>15</v>
      </c>
      <c r="AQ6">
        <v>750</v>
      </c>
      <c r="AR6" t="s">
        <v>84</v>
      </c>
      <c r="AS6">
        <v>1</v>
      </c>
      <c r="AT6">
        <v>40</v>
      </c>
      <c r="AU6">
        <v>5</v>
      </c>
      <c r="AV6">
        <v>5</v>
      </c>
      <c r="AW6">
        <v>20</v>
      </c>
      <c r="AX6">
        <v>4</v>
      </c>
      <c r="AY6">
        <v>0</v>
      </c>
      <c r="AZ6" t="s">
        <v>83</v>
      </c>
      <c r="BA6">
        <v>0.2</v>
      </c>
      <c r="BB6">
        <v>8</v>
      </c>
      <c r="BC6">
        <v>0</v>
      </c>
      <c r="BD6">
        <v>750</v>
      </c>
      <c r="BE6" t="b">
        <v>0</v>
      </c>
      <c r="BF6">
        <v>6</v>
      </c>
      <c r="BG6">
        <v>0</v>
      </c>
      <c r="BH6">
        <v>1</v>
      </c>
      <c r="BI6">
        <v>1</v>
      </c>
      <c r="BJ6">
        <v>16</v>
      </c>
      <c r="BK6" t="s">
        <v>73</v>
      </c>
      <c r="BL6">
        <v>200</v>
      </c>
      <c r="BM6">
        <v>1000</v>
      </c>
      <c r="BN6" t="b">
        <v>0</v>
      </c>
      <c r="BO6" t="s">
        <v>85</v>
      </c>
      <c r="BP6">
        <v>2021</v>
      </c>
      <c r="BQ6" t="s">
        <v>86</v>
      </c>
      <c r="BR6" t="s">
        <v>103</v>
      </c>
    </row>
    <row r="7" spans="1:70">
      <c r="A7" t="s">
        <v>104</v>
      </c>
      <c r="B7" t="s">
        <v>71</v>
      </c>
      <c r="C7" t="s">
        <v>105</v>
      </c>
      <c r="D7" t="s">
        <v>73</v>
      </c>
      <c r="E7" t="s">
        <v>74</v>
      </c>
      <c r="F7">
        <v>5</v>
      </c>
      <c r="G7">
        <v>0.572666092083798</v>
      </c>
      <c r="H7">
        <v>0.539277763125909</v>
      </c>
      <c r="I7">
        <v>0.68</v>
      </c>
      <c r="J7">
        <v>0.63375</v>
      </c>
      <c r="K7" t="s">
        <v>75</v>
      </c>
      <c r="L7" t="s">
        <v>106</v>
      </c>
      <c r="M7">
        <v>-6.0045</v>
      </c>
      <c r="N7">
        <v>65.625</v>
      </c>
      <c r="O7">
        <f t="shared" si="0"/>
        <v>42</v>
      </c>
      <c r="P7">
        <v>-6.29154761904762</v>
      </c>
      <c r="Q7">
        <f t="shared" si="1"/>
        <v>-264.245</v>
      </c>
      <c r="R7">
        <v>-10.016</v>
      </c>
      <c r="S7">
        <v>100</v>
      </c>
      <c r="T7" t="s">
        <v>77</v>
      </c>
      <c r="U7" t="s">
        <v>78</v>
      </c>
      <c r="V7">
        <v>0</v>
      </c>
      <c r="W7" t="s">
        <v>79</v>
      </c>
      <c r="X7">
        <v>2</v>
      </c>
      <c r="Y7">
        <v>1</v>
      </c>
      <c r="Z7" t="b">
        <v>1</v>
      </c>
      <c r="AA7" t="s">
        <v>80</v>
      </c>
      <c r="AB7" t="s">
        <v>81</v>
      </c>
      <c r="AC7" t="b">
        <v>0</v>
      </c>
      <c r="AD7" t="s">
        <v>82</v>
      </c>
      <c r="AE7">
        <v>8</v>
      </c>
      <c r="AF7">
        <v>1</v>
      </c>
      <c r="AG7">
        <v>8</v>
      </c>
      <c r="AH7">
        <v>80</v>
      </c>
      <c r="AI7">
        <v>20</v>
      </c>
      <c r="AJ7">
        <v>20</v>
      </c>
      <c r="AK7">
        <v>30</v>
      </c>
      <c r="AL7">
        <v>2</v>
      </c>
      <c r="AM7">
        <v>0</v>
      </c>
      <c r="AN7" t="s">
        <v>83</v>
      </c>
      <c r="AO7">
        <v>1</v>
      </c>
      <c r="AP7">
        <v>15</v>
      </c>
      <c r="AQ7">
        <v>750</v>
      </c>
      <c r="AR7" t="s">
        <v>84</v>
      </c>
      <c r="AS7">
        <v>1</v>
      </c>
      <c r="AT7">
        <v>40</v>
      </c>
      <c r="AU7">
        <v>5</v>
      </c>
      <c r="AV7">
        <v>5</v>
      </c>
      <c r="AW7">
        <v>20</v>
      </c>
      <c r="AX7">
        <v>4</v>
      </c>
      <c r="AY7">
        <v>0</v>
      </c>
      <c r="AZ7" t="s">
        <v>83</v>
      </c>
      <c r="BA7">
        <v>0.2</v>
      </c>
      <c r="BB7">
        <v>8</v>
      </c>
      <c r="BC7">
        <v>0</v>
      </c>
      <c r="BD7">
        <v>750</v>
      </c>
      <c r="BE7" t="b">
        <v>0</v>
      </c>
      <c r="BF7">
        <v>6</v>
      </c>
      <c r="BG7">
        <v>0</v>
      </c>
      <c r="BH7">
        <v>1</v>
      </c>
      <c r="BI7">
        <v>1</v>
      </c>
      <c r="BJ7">
        <v>16</v>
      </c>
      <c r="BK7" t="s">
        <v>73</v>
      </c>
      <c r="BL7">
        <v>200</v>
      </c>
      <c r="BM7">
        <v>1000</v>
      </c>
      <c r="BN7" t="b">
        <v>0</v>
      </c>
      <c r="BO7" t="s">
        <v>85</v>
      </c>
      <c r="BP7">
        <v>2021</v>
      </c>
      <c r="BQ7" t="s">
        <v>86</v>
      </c>
      <c r="BR7" t="s">
        <v>107</v>
      </c>
    </row>
    <row r="8" spans="1:70">
      <c r="A8" t="s">
        <v>108</v>
      </c>
      <c r="B8" t="s">
        <v>71</v>
      </c>
      <c r="C8" t="s">
        <v>109</v>
      </c>
      <c r="D8" t="s">
        <v>73</v>
      </c>
      <c r="E8" t="s">
        <v>74</v>
      </c>
      <c r="F8">
        <v>6</v>
      </c>
      <c r="G8">
        <v>0.393483470383173</v>
      </c>
      <c r="H8">
        <v>0.390531756393296</v>
      </c>
      <c r="I8">
        <v>0.67</v>
      </c>
      <c r="J8">
        <v>0.665873015873016</v>
      </c>
      <c r="K8" t="s">
        <v>75</v>
      </c>
      <c r="L8" t="s">
        <v>110</v>
      </c>
      <c r="M8">
        <v>-7.646</v>
      </c>
      <c r="N8">
        <v>89.0625</v>
      </c>
      <c r="O8">
        <f t="shared" si="0"/>
        <v>57</v>
      </c>
      <c r="P8">
        <v>-8.10317543859649</v>
      </c>
      <c r="Q8">
        <f t="shared" si="1"/>
        <v>-461.881</v>
      </c>
      <c r="R8">
        <v>-15.413</v>
      </c>
      <c r="S8">
        <v>98.4375</v>
      </c>
      <c r="T8" t="s">
        <v>77</v>
      </c>
      <c r="U8" t="s">
        <v>78</v>
      </c>
      <c r="V8">
        <v>0</v>
      </c>
      <c r="W8" t="s">
        <v>79</v>
      </c>
      <c r="X8">
        <v>2</v>
      </c>
      <c r="Y8">
        <v>1</v>
      </c>
      <c r="Z8" t="b">
        <v>1</v>
      </c>
      <c r="AA8" t="s">
        <v>80</v>
      </c>
      <c r="AB8" t="s">
        <v>81</v>
      </c>
      <c r="AC8" t="b">
        <v>0</v>
      </c>
      <c r="AD8" t="s">
        <v>82</v>
      </c>
      <c r="AE8">
        <v>8</v>
      </c>
      <c r="AF8">
        <v>1</v>
      </c>
      <c r="AG8">
        <v>8</v>
      </c>
      <c r="AH8">
        <v>80</v>
      </c>
      <c r="AI8">
        <v>20</v>
      </c>
      <c r="AJ8">
        <v>20</v>
      </c>
      <c r="AK8">
        <v>30</v>
      </c>
      <c r="AL8">
        <v>2</v>
      </c>
      <c r="AM8">
        <v>0</v>
      </c>
      <c r="AN8" t="s">
        <v>83</v>
      </c>
      <c r="AO8">
        <v>1</v>
      </c>
      <c r="AP8">
        <v>15</v>
      </c>
      <c r="AQ8">
        <v>750</v>
      </c>
      <c r="AR8" t="s">
        <v>84</v>
      </c>
      <c r="AS8">
        <v>1</v>
      </c>
      <c r="AT8">
        <v>40</v>
      </c>
      <c r="AU8">
        <v>5</v>
      </c>
      <c r="AV8">
        <v>5</v>
      </c>
      <c r="AW8">
        <v>20</v>
      </c>
      <c r="AX8">
        <v>4</v>
      </c>
      <c r="AY8">
        <v>0</v>
      </c>
      <c r="AZ8" t="s">
        <v>83</v>
      </c>
      <c r="BA8">
        <v>0.2</v>
      </c>
      <c r="BB8">
        <v>8</v>
      </c>
      <c r="BC8">
        <v>0</v>
      </c>
      <c r="BD8">
        <v>750</v>
      </c>
      <c r="BE8" t="b">
        <v>0</v>
      </c>
      <c r="BF8">
        <v>6</v>
      </c>
      <c r="BG8">
        <v>0</v>
      </c>
      <c r="BH8">
        <v>1</v>
      </c>
      <c r="BI8">
        <v>1</v>
      </c>
      <c r="BJ8">
        <v>16</v>
      </c>
      <c r="BK8" t="s">
        <v>73</v>
      </c>
      <c r="BL8">
        <v>200</v>
      </c>
      <c r="BM8">
        <v>1000</v>
      </c>
      <c r="BN8" t="b">
        <v>0</v>
      </c>
      <c r="BO8" t="s">
        <v>85</v>
      </c>
      <c r="BP8">
        <v>2021</v>
      </c>
      <c r="BQ8" t="s">
        <v>86</v>
      </c>
      <c r="BR8" t="s">
        <v>111</v>
      </c>
    </row>
    <row r="9" spans="1:70">
      <c r="A9" t="s">
        <v>112</v>
      </c>
      <c r="B9" t="s">
        <v>71</v>
      </c>
      <c r="C9" t="s">
        <v>113</v>
      </c>
      <c r="D9" t="s">
        <v>73</v>
      </c>
      <c r="E9" t="s">
        <v>74</v>
      </c>
      <c r="F9">
        <v>7</v>
      </c>
      <c r="G9">
        <v>0.257751281753973</v>
      </c>
      <c r="H9">
        <v>0.265091951293301</v>
      </c>
      <c r="I9">
        <v>0.52</v>
      </c>
      <c r="J9">
        <v>0.525396825396825</v>
      </c>
      <c r="K9" t="s">
        <v>75</v>
      </c>
      <c r="L9" t="s">
        <v>114</v>
      </c>
      <c r="M9">
        <v>-9.427</v>
      </c>
      <c r="N9">
        <v>81.25</v>
      </c>
      <c r="O9">
        <f t="shared" si="0"/>
        <v>52</v>
      </c>
      <c r="P9">
        <v>-9.83171153846154</v>
      </c>
      <c r="Q9">
        <f t="shared" si="1"/>
        <v>-511.249</v>
      </c>
      <c r="R9">
        <v>-14.52</v>
      </c>
      <c r="S9">
        <v>98.4375</v>
      </c>
      <c r="T9" t="s">
        <v>77</v>
      </c>
      <c r="U9" t="s">
        <v>78</v>
      </c>
      <c r="V9">
        <v>0</v>
      </c>
      <c r="W9" t="s">
        <v>79</v>
      </c>
      <c r="X9">
        <v>2</v>
      </c>
      <c r="Y9">
        <v>1</v>
      </c>
      <c r="Z9" t="b">
        <v>1</v>
      </c>
      <c r="AA9" t="s">
        <v>80</v>
      </c>
      <c r="AB9" t="s">
        <v>81</v>
      </c>
      <c r="AC9" t="b">
        <v>0</v>
      </c>
      <c r="AD9" t="s">
        <v>82</v>
      </c>
      <c r="AE9">
        <v>8</v>
      </c>
      <c r="AF9">
        <v>1</v>
      </c>
      <c r="AG9">
        <v>8</v>
      </c>
      <c r="AH9">
        <v>80</v>
      </c>
      <c r="AI9">
        <v>20</v>
      </c>
      <c r="AJ9">
        <v>20</v>
      </c>
      <c r="AK9">
        <v>30</v>
      </c>
      <c r="AL9">
        <v>2</v>
      </c>
      <c r="AM9">
        <v>0</v>
      </c>
      <c r="AN9" t="s">
        <v>83</v>
      </c>
      <c r="AO9">
        <v>1</v>
      </c>
      <c r="AP9">
        <v>15</v>
      </c>
      <c r="AQ9">
        <v>750</v>
      </c>
      <c r="AR9" t="s">
        <v>84</v>
      </c>
      <c r="AS9">
        <v>1</v>
      </c>
      <c r="AT9">
        <v>40</v>
      </c>
      <c r="AU9">
        <v>5</v>
      </c>
      <c r="AV9">
        <v>5</v>
      </c>
      <c r="AW9">
        <v>20</v>
      </c>
      <c r="AX9">
        <v>4</v>
      </c>
      <c r="AY9">
        <v>0</v>
      </c>
      <c r="AZ9" t="s">
        <v>83</v>
      </c>
      <c r="BA9">
        <v>0.2</v>
      </c>
      <c r="BB9">
        <v>8</v>
      </c>
      <c r="BC9">
        <v>0</v>
      </c>
      <c r="BD9">
        <v>750</v>
      </c>
      <c r="BE9" t="b">
        <v>0</v>
      </c>
      <c r="BF9">
        <v>6</v>
      </c>
      <c r="BG9">
        <v>0</v>
      </c>
      <c r="BH9">
        <v>1</v>
      </c>
      <c r="BI9">
        <v>1</v>
      </c>
      <c r="BJ9">
        <v>16</v>
      </c>
      <c r="BK9" t="s">
        <v>73</v>
      </c>
      <c r="BL9">
        <v>200</v>
      </c>
      <c r="BM9">
        <v>1000</v>
      </c>
      <c r="BN9" t="b">
        <v>0</v>
      </c>
      <c r="BO9" t="s">
        <v>85</v>
      </c>
      <c r="BP9">
        <v>2021</v>
      </c>
      <c r="BQ9" t="s">
        <v>86</v>
      </c>
      <c r="BR9" t="s">
        <v>115</v>
      </c>
    </row>
    <row r="10" spans="1:70">
      <c r="A10" t="s">
        <v>116</v>
      </c>
      <c r="B10" t="s">
        <v>71</v>
      </c>
      <c r="C10" t="s">
        <v>117</v>
      </c>
      <c r="D10" t="s">
        <v>73</v>
      </c>
      <c r="E10" t="s">
        <v>74</v>
      </c>
      <c r="F10">
        <v>8</v>
      </c>
      <c r="G10">
        <v>0.499225515577271</v>
      </c>
      <c r="H10">
        <v>0.498625836987385</v>
      </c>
      <c r="I10">
        <v>0.71</v>
      </c>
      <c r="J10">
        <v>0.706166666666666</v>
      </c>
      <c r="K10" t="s">
        <v>75</v>
      </c>
      <c r="L10" t="s">
        <v>118</v>
      </c>
      <c r="M10">
        <v>-6.6045</v>
      </c>
      <c r="N10">
        <v>78.125</v>
      </c>
      <c r="O10">
        <f t="shared" si="0"/>
        <v>50</v>
      </c>
      <c r="P10">
        <v>-7.08216</v>
      </c>
      <c r="Q10">
        <f t="shared" si="1"/>
        <v>-354.108</v>
      </c>
      <c r="R10">
        <v>-12.488</v>
      </c>
      <c r="S10">
        <v>93.75</v>
      </c>
      <c r="T10" t="s">
        <v>77</v>
      </c>
      <c r="U10" t="s">
        <v>78</v>
      </c>
      <c r="V10">
        <v>0</v>
      </c>
      <c r="W10" t="s">
        <v>79</v>
      </c>
      <c r="X10">
        <v>2</v>
      </c>
      <c r="Y10">
        <v>1</v>
      </c>
      <c r="Z10" t="b">
        <v>1</v>
      </c>
      <c r="AA10" t="s">
        <v>80</v>
      </c>
      <c r="AB10" t="s">
        <v>81</v>
      </c>
      <c r="AC10" t="b">
        <v>0</v>
      </c>
      <c r="AD10" t="s">
        <v>82</v>
      </c>
      <c r="AE10">
        <v>8</v>
      </c>
      <c r="AF10">
        <v>1</v>
      </c>
      <c r="AG10">
        <v>8</v>
      </c>
      <c r="AH10">
        <v>80</v>
      </c>
      <c r="AI10">
        <v>20</v>
      </c>
      <c r="AJ10">
        <v>20</v>
      </c>
      <c r="AK10">
        <v>30</v>
      </c>
      <c r="AL10">
        <v>2</v>
      </c>
      <c r="AM10">
        <v>0</v>
      </c>
      <c r="AN10" t="s">
        <v>83</v>
      </c>
      <c r="AO10">
        <v>1</v>
      </c>
      <c r="AP10">
        <v>15</v>
      </c>
      <c r="AQ10">
        <v>750</v>
      </c>
      <c r="AR10" t="s">
        <v>84</v>
      </c>
      <c r="AS10">
        <v>1</v>
      </c>
      <c r="AT10">
        <v>40</v>
      </c>
      <c r="AU10">
        <v>5</v>
      </c>
      <c r="AV10">
        <v>5</v>
      </c>
      <c r="AW10">
        <v>20</v>
      </c>
      <c r="AX10">
        <v>4</v>
      </c>
      <c r="AY10">
        <v>0</v>
      </c>
      <c r="AZ10" t="s">
        <v>83</v>
      </c>
      <c r="BA10">
        <v>0.2</v>
      </c>
      <c r="BB10">
        <v>8</v>
      </c>
      <c r="BC10">
        <v>0</v>
      </c>
      <c r="BD10">
        <v>750</v>
      </c>
      <c r="BE10" t="b">
        <v>0</v>
      </c>
      <c r="BF10">
        <v>6</v>
      </c>
      <c r="BG10">
        <v>0</v>
      </c>
      <c r="BH10">
        <v>1</v>
      </c>
      <c r="BI10">
        <v>1</v>
      </c>
      <c r="BJ10">
        <v>16</v>
      </c>
      <c r="BK10" t="s">
        <v>73</v>
      </c>
      <c r="BL10">
        <v>200</v>
      </c>
      <c r="BM10">
        <v>1000</v>
      </c>
      <c r="BN10" t="b">
        <v>0</v>
      </c>
      <c r="BO10" t="s">
        <v>85</v>
      </c>
      <c r="BP10">
        <v>2021</v>
      </c>
      <c r="BQ10" t="s">
        <v>86</v>
      </c>
      <c r="BR10" t="s">
        <v>119</v>
      </c>
    </row>
    <row r="11" spans="1:70">
      <c r="A11" t="s">
        <v>120</v>
      </c>
      <c r="B11" t="s">
        <v>71</v>
      </c>
      <c r="C11" t="s">
        <v>121</v>
      </c>
      <c r="D11" t="s">
        <v>73</v>
      </c>
      <c r="E11" t="s">
        <v>74</v>
      </c>
      <c r="F11">
        <v>9</v>
      </c>
      <c r="G11">
        <v>0.348083733162952</v>
      </c>
      <c r="H11">
        <v>0.349712890371918</v>
      </c>
      <c r="I11">
        <v>0.56</v>
      </c>
      <c r="J11">
        <v>0.56609375</v>
      </c>
      <c r="K11" t="s">
        <v>75</v>
      </c>
      <c r="L11" t="s">
        <v>122</v>
      </c>
      <c r="M11">
        <v>-6.8535</v>
      </c>
      <c r="N11">
        <v>84.375</v>
      </c>
      <c r="O11">
        <f t="shared" si="0"/>
        <v>54</v>
      </c>
      <c r="P11">
        <v>-6.92472222222222</v>
      </c>
      <c r="Q11">
        <f t="shared" si="1"/>
        <v>-373.935</v>
      </c>
      <c r="R11">
        <v>-10.09</v>
      </c>
      <c r="S11">
        <v>100</v>
      </c>
      <c r="T11" t="s">
        <v>77</v>
      </c>
      <c r="U11" t="s">
        <v>78</v>
      </c>
      <c r="V11">
        <v>0</v>
      </c>
      <c r="W11" t="s">
        <v>79</v>
      </c>
      <c r="X11">
        <v>2</v>
      </c>
      <c r="Y11">
        <v>1</v>
      </c>
      <c r="Z11" t="b">
        <v>1</v>
      </c>
      <c r="AA11" t="s">
        <v>80</v>
      </c>
      <c r="AB11" t="s">
        <v>81</v>
      </c>
      <c r="AC11" t="b">
        <v>0</v>
      </c>
      <c r="AD11" t="s">
        <v>82</v>
      </c>
      <c r="AE11">
        <v>8</v>
      </c>
      <c r="AF11">
        <v>1</v>
      </c>
      <c r="AG11">
        <v>8</v>
      </c>
      <c r="AH11">
        <v>80</v>
      </c>
      <c r="AI11">
        <v>20</v>
      </c>
      <c r="AJ11">
        <v>20</v>
      </c>
      <c r="AK11">
        <v>30</v>
      </c>
      <c r="AL11">
        <v>2</v>
      </c>
      <c r="AM11">
        <v>0</v>
      </c>
      <c r="AN11" t="s">
        <v>83</v>
      </c>
      <c r="AO11">
        <v>1</v>
      </c>
      <c r="AP11">
        <v>15</v>
      </c>
      <c r="AQ11">
        <v>750</v>
      </c>
      <c r="AR11" t="s">
        <v>84</v>
      </c>
      <c r="AS11">
        <v>1</v>
      </c>
      <c r="AT11">
        <v>40</v>
      </c>
      <c r="AU11">
        <v>5</v>
      </c>
      <c r="AV11">
        <v>5</v>
      </c>
      <c r="AW11">
        <v>20</v>
      </c>
      <c r="AX11">
        <v>4</v>
      </c>
      <c r="AY11">
        <v>0</v>
      </c>
      <c r="AZ11" t="s">
        <v>83</v>
      </c>
      <c r="BA11">
        <v>0.2</v>
      </c>
      <c r="BB11">
        <v>8</v>
      </c>
      <c r="BC11">
        <v>0</v>
      </c>
      <c r="BD11">
        <v>750</v>
      </c>
      <c r="BE11" t="b">
        <v>0</v>
      </c>
      <c r="BF11">
        <v>6</v>
      </c>
      <c r="BG11">
        <v>0</v>
      </c>
      <c r="BH11">
        <v>1</v>
      </c>
      <c r="BI11">
        <v>1</v>
      </c>
      <c r="BJ11">
        <v>16</v>
      </c>
      <c r="BK11" t="s">
        <v>73</v>
      </c>
      <c r="BL11">
        <v>200</v>
      </c>
      <c r="BM11">
        <v>1000</v>
      </c>
      <c r="BN11" t="b">
        <v>0</v>
      </c>
      <c r="BO11" t="s">
        <v>85</v>
      </c>
      <c r="BP11">
        <v>2021</v>
      </c>
      <c r="BQ11" t="s">
        <v>86</v>
      </c>
      <c r="BR11" t="s">
        <v>123</v>
      </c>
    </row>
    <row r="12" spans="1:70">
      <c r="A12" t="s">
        <v>124</v>
      </c>
      <c r="B12" t="s">
        <v>71</v>
      </c>
      <c r="C12" t="s">
        <v>125</v>
      </c>
      <c r="D12" t="s">
        <v>73</v>
      </c>
      <c r="E12" t="s">
        <v>74</v>
      </c>
      <c r="F12">
        <v>10</v>
      </c>
      <c r="G12">
        <v>0.211911106960569</v>
      </c>
      <c r="H12">
        <v>0.21964533056297</v>
      </c>
      <c r="I12">
        <v>0.54</v>
      </c>
      <c r="J12">
        <v>0.54203125</v>
      </c>
      <c r="K12" t="s">
        <v>75</v>
      </c>
      <c r="L12" t="s">
        <v>126</v>
      </c>
      <c r="M12">
        <v>-8.593</v>
      </c>
      <c r="N12">
        <v>67.1875</v>
      </c>
      <c r="O12">
        <f t="shared" si="0"/>
        <v>43</v>
      </c>
      <c r="P12">
        <v>-8.59460465116279</v>
      </c>
      <c r="Q12">
        <f t="shared" si="1"/>
        <v>-369.568</v>
      </c>
      <c r="R12">
        <v>-9.849</v>
      </c>
      <c r="S12">
        <v>100</v>
      </c>
      <c r="T12" t="s">
        <v>77</v>
      </c>
      <c r="U12" t="s">
        <v>78</v>
      </c>
      <c r="V12">
        <v>0</v>
      </c>
      <c r="W12" t="s">
        <v>79</v>
      </c>
      <c r="X12">
        <v>2</v>
      </c>
      <c r="Y12">
        <v>1</v>
      </c>
      <c r="Z12" t="b">
        <v>1</v>
      </c>
      <c r="AA12" t="s">
        <v>80</v>
      </c>
      <c r="AB12" t="s">
        <v>81</v>
      </c>
      <c r="AC12" t="b">
        <v>0</v>
      </c>
      <c r="AD12" t="s">
        <v>82</v>
      </c>
      <c r="AE12">
        <v>8</v>
      </c>
      <c r="AF12">
        <v>1</v>
      </c>
      <c r="AG12">
        <v>8</v>
      </c>
      <c r="AH12">
        <v>80</v>
      </c>
      <c r="AI12">
        <v>20</v>
      </c>
      <c r="AJ12">
        <v>20</v>
      </c>
      <c r="AK12">
        <v>30</v>
      </c>
      <c r="AL12">
        <v>2</v>
      </c>
      <c r="AM12">
        <v>0</v>
      </c>
      <c r="AN12" t="s">
        <v>83</v>
      </c>
      <c r="AO12">
        <v>1</v>
      </c>
      <c r="AP12">
        <v>15</v>
      </c>
      <c r="AQ12">
        <v>750</v>
      </c>
      <c r="AR12" t="s">
        <v>84</v>
      </c>
      <c r="AS12">
        <v>1</v>
      </c>
      <c r="AT12">
        <v>40</v>
      </c>
      <c r="AU12">
        <v>5</v>
      </c>
      <c r="AV12">
        <v>5</v>
      </c>
      <c r="AW12">
        <v>20</v>
      </c>
      <c r="AX12">
        <v>4</v>
      </c>
      <c r="AY12">
        <v>0</v>
      </c>
      <c r="AZ12" t="s">
        <v>83</v>
      </c>
      <c r="BA12">
        <v>0.2</v>
      </c>
      <c r="BB12">
        <v>8</v>
      </c>
      <c r="BC12">
        <v>0</v>
      </c>
      <c r="BD12">
        <v>750</v>
      </c>
      <c r="BE12" t="b">
        <v>0</v>
      </c>
      <c r="BF12">
        <v>6</v>
      </c>
      <c r="BG12">
        <v>0</v>
      </c>
      <c r="BH12">
        <v>1</v>
      </c>
      <c r="BI12">
        <v>1</v>
      </c>
      <c r="BJ12">
        <v>16</v>
      </c>
      <c r="BK12" t="s">
        <v>73</v>
      </c>
      <c r="BL12">
        <v>200</v>
      </c>
      <c r="BM12">
        <v>1000</v>
      </c>
      <c r="BN12" t="b">
        <v>0</v>
      </c>
      <c r="BO12" t="s">
        <v>85</v>
      </c>
      <c r="BP12">
        <v>2021</v>
      </c>
      <c r="BQ12" t="s">
        <v>86</v>
      </c>
      <c r="BR12" t="s">
        <v>127</v>
      </c>
    </row>
    <row r="13" spans="1:70">
      <c r="A13" t="s">
        <v>128</v>
      </c>
      <c r="B13" t="s">
        <v>71</v>
      </c>
      <c r="C13" t="s">
        <v>129</v>
      </c>
      <c r="D13" t="s">
        <v>73</v>
      </c>
      <c r="E13" t="s">
        <v>74</v>
      </c>
      <c r="F13">
        <v>11</v>
      </c>
      <c r="G13">
        <v>0.26635049786517</v>
      </c>
      <c r="H13">
        <v>0.303311609033418</v>
      </c>
      <c r="I13">
        <v>0.56</v>
      </c>
      <c r="J13">
        <v>0.5753125</v>
      </c>
      <c r="K13" t="s">
        <v>75</v>
      </c>
      <c r="L13" t="s">
        <v>130</v>
      </c>
      <c r="M13">
        <v>-8.6305</v>
      </c>
      <c r="N13">
        <v>65.625</v>
      </c>
      <c r="O13">
        <f t="shared" si="0"/>
        <v>42</v>
      </c>
      <c r="P13">
        <v>-8.70457142857143</v>
      </c>
      <c r="Q13">
        <f t="shared" si="1"/>
        <v>-365.592</v>
      </c>
      <c r="R13">
        <v>-12.277</v>
      </c>
      <c r="S13">
        <v>100</v>
      </c>
      <c r="T13" t="s">
        <v>77</v>
      </c>
      <c r="U13" t="s">
        <v>78</v>
      </c>
      <c r="V13">
        <v>0</v>
      </c>
      <c r="W13" t="s">
        <v>79</v>
      </c>
      <c r="X13">
        <v>2</v>
      </c>
      <c r="Y13">
        <v>1</v>
      </c>
      <c r="Z13" t="b">
        <v>1</v>
      </c>
      <c r="AA13" t="s">
        <v>80</v>
      </c>
      <c r="AB13" t="s">
        <v>81</v>
      </c>
      <c r="AC13" t="b">
        <v>0</v>
      </c>
      <c r="AD13" t="s">
        <v>82</v>
      </c>
      <c r="AE13">
        <v>8</v>
      </c>
      <c r="AF13">
        <v>1</v>
      </c>
      <c r="AG13">
        <v>8</v>
      </c>
      <c r="AH13">
        <v>80</v>
      </c>
      <c r="AI13">
        <v>20</v>
      </c>
      <c r="AJ13">
        <v>20</v>
      </c>
      <c r="AK13">
        <v>30</v>
      </c>
      <c r="AL13">
        <v>2</v>
      </c>
      <c r="AM13">
        <v>0</v>
      </c>
      <c r="AN13" t="s">
        <v>83</v>
      </c>
      <c r="AO13">
        <v>1</v>
      </c>
      <c r="AP13">
        <v>15</v>
      </c>
      <c r="AQ13">
        <v>750</v>
      </c>
      <c r="AR13" t="s">
        <v>84</v>
      </c>
      <c r="AS13">
        <v>1</v>
      </c>
      <c r="AT13">
        <v>40</v>
      </c>
      <c r="AU13">
        <v>5</v>
      </c>
      <c r="AV13">
        <v>5</v>
      </c>
      <c r="AW13">
        <v>20</v>
      </c>
      <c r="AX13">
        <v>4</v>
      </c>
      <c r="AY13">
        <v>0</v>
      </c>
      <c r="AZ13" t="s">
        <v>83</v>
      </c>
      <c r="BA13">
        <v>0.2</v>
      </c>
      <c r="BB13">
        <v>8</v>
      </c>
      <c r="BC13">
        <v>0</v>
      </c>
      <c r="BD13">
        <v>750</v>
      </c>
      <c r="BE13" t="b">
        <v>0</v>
      </c>
      <c r="BF13">
        <v>6</v>
      </c>
      <c r="BG13">
        <v>0</v>
      </c>
      <c r="BH13">
        <v>1</v>
      </c>
      <c r="BI13">
        <v>1</v>
      </c>
      <c r="BJ13">
        <v>16</v>
      </c>
      <c r="BK13" t="s">
        <v>73</v>
      </c>
      <c r="BL13">
        <v>200</v>
      </c>
      <c r="BM13">
        <v>1000</v>
      </c>
      <c r="BN13" t="b">
        <v>0</v>
      </c>
      <c r="BO13" t="s">
        <v>85</v>
      </c>
      <c r="BP13">
        <v>2021</v>
      </c>
      <c r="BQ13" t="s">
        <v>86</v>
      </c>
      <c r="BR13" t="s">
        <v>131</v>
      </c>
    </row>
    <row r="14" spans="1:70">
      <c r="A14" t="s">
        <v>132</v>
      </c>
      <c r="B14" t="s">
        <v>71</v>
      </c>
      <c r="C14" t="s">
        <v>133</v>
      </c>
      <c r="D14" t="s">
        <v>73</v>
      </c>
      <c r="E14" t="s">
        <v>74</v>
      </c>
      <c r="F14">
        <v>12</v>
      </c>
      <c r="G14">
        <v>0.374999585777078</v>
      </c>
      <c r="H14">
        <v>0.378520404582339</v>
      </c>
      <c r="I14">
        <v>0.6</v>
      </c>
      <c r="J14">
        <v>0.60109375</v>
      </c>
      <c r="K14" t="s">
        <v>75</v>
      </c>
      <c r="L14" t="s">
        <v>134</v>
      </c>
      <c r="M14">
        <v>-9.9615</v>
      </c>
      <c r="N14">
        <v>93.75</v>
      </c>
      <c r="O14">
        <f t="shared" si="0"/>
        <v>60</v>
      </c>
      <c r="P14">
        <v>-10.2355666666667</v>
      </c>
      <c r="Q14">
        <f t="shared" si="1"/>
        <v>-614.134</v>
      </c>
      <c r="R14">
        <v>-13.711</v>
      </c>
      <c r="S14">
        <v>100</v>
      </c>
      <c r="T14" t="s">
        <v>77</v>
      </c>
      <c r="U14" t="s">
        <v>78</v>
      </c>
      <c r="V14">
        <v>0</v>
      </c>
      <c r="W14" t="s">
        <v>79</v>
      </c>
      <c r="X14">
        <v>2</v>
      </c>
      <c r="Y14">
        <v>1</v>
      </c>
      <c r="Z14" t="b">
        <v>1</v>
      </c>
      <c r="AA14" t="s">
        <v>80</v>
      </c>
      <c r="AB14" t="s">
        <v>81</v>
      </c>
      <c r="AC14" t="b">
        <v>0</v>
      </c>
      <c r="AD14" t="s">
        <v>82</v>
      </c>
      <c r="AE14">
        <v>8</v>
      </c>
      <c r="AF14">
        <v>1</v>
      </c>
      <c r="AG14">
        <v>8</v>
      </c>
      <c r="AH14">
        <v>80</v>
      </c>
      <c r="AI14">
        <v>20</v>
      </c>
      <c r="AJ14">
        <v>20</v>
      </c>
      <c r="AK14">
        <v>30</v>
      </c>
      <c r="AL14">
        <v>2</v>
      </c>
      <c r="AM14">
        <v>0</v>
      </c>
      <c r="AN14" t="s">
        <v>83</v>
      </c>
      <c r="AO14">
        <v>1</v>
      </c>
      <c r="AP14">
        <v>15</v>
      </c>
      <c r="AQ14">
        <v>750</v>
      </c>
      <c r="AR14" t="s">
        <v>84</v>
      </c>
      <c r="AS14">
        <v>1</v>
      </c>
      <c r="AT14">
        <v>40</v>
      </c>
      <c r="AU14">
        <v>5</v>
      </c>
      <c r="AV14">
        <v>5</v>
      </c>
      <c r="AW14">
        <v>20</v>
      </c>
      <c r="AX14">
        <v>4</v>
      </c>
      <c r="AY14">
        <v>0</v>
      </c>
      <c r="AZ14" t="s">
        <v>83</v>
      </c>
      <c r="BA14">
        <v>0.2</v>
      </c>
      <c r="BB14">
        <v>8</v>
      </c>
      <c r="BC14">
        <v>0</v>
      </c>
      <c r="BD14">
        <v>750</v>
      </c>
      <c r="BE14" t="b">
        <v>0</v>
      </c>
      <c r="BF14">
        <v>6</v>
      </c>
      <c r="BG14">
        <v>0</v>
      </c>
      <c r="BH14">
        <v>1</v>
      </c>
      <c r="BI14">
        <v>1</v>
      </c>
      <c r="BJ14">
        <v>16</v>
      </c>
      <c r="BK14" t="s">
        <v>73</v>
      </c>
      <c r="BL14">
        <v>200</v>
      </c>
      <c r="BM14">
        <v>1000</v>
      </c>
      <c r="BN14" t="b">
        <v>0</v>
      </c>
      <c r="BO14" t="s">
        <v>85</v>
      </c>
      <c r="BP14">
        <v>2021</v>
      </c>
      <c r="BQ14" t="s">
        <v>86</v>
      </c>
      <c r="BR14" t="s">
        <v>135</v>
      </c>
    </row>
    <row r="15" spans="1:70">
      <c r="A15" t="s">
        <v>136</v>
      </c>
      <c r="B15" t="s">
        <v>71</v>
      </c>
      <c r="C15" t="s">
        <v>137</v>
      </c>
      <c r="D15" t="s">
        <v>73</v>
      </c>
      <c r="E15" t="s">
        <v>74</v>
      </c>
      <c r="F15">
        <v>13</v>
      </c>
      <c r="G15">
        <v>0.299711374551236</v>
      </c>
      <c r="H15">
        <v>0.304778850350096</v>
      </c>
      <c r="I15">
        <v>0.57</v>
      </c>
      <c r="J15">
        <v>0.578387096774194</v>
      </c>
      <c r="K15" t="s">
        <v>75</v>
      </c>
      <c r="L15" t="s">
        <v>138</v>
      </c>
      <c r="M15">
        <v>-8.8635</v>
      </c>
      <c r="N15">
        <v>87.5</v>
      </c>
      <c r="O15">
        <f t="shared" si="0"/>
        <v>56</v>
      </c>
      <c r="P15">
        <v>-8.94148214285714</v>
      </c>
      <c r="Q15">
        <f t="shared" si="1"/>
        <v>-500.723</v>
      </c>
      <c r="R15">
        <v>-12.713</v>
      </c>
      <c r="S15">
        <v>96.875</v>
      </c>
      <c r="T15" t="s">
        <v>77</v>
      </c>
      <c r="U15" t="s">
        <v>78</v>
      </c>
      <c r="V15">
        <v>0</v>
      </c>
      <c r="W15" t="s">
        <v>79</v>
      </c>
      <c r="X15">
        <v>2</v>
      </c>
      <c r="Y15">
        <v>1</v>
      </c>
      <c r="Z15" t="b">
        <v>1</v>
      </c>
      <c r="AA15" t="s">
        <v>80</v>
      </c>
      <c r="AB15" t="s">
        <v>81</v>
      </c>
      <c r="AC15" t="b">
        <v>0</v>
      </c>
      <c r="AD15" t="s">
        <v>82</v>
      </c>
      <c r="AE15">
        <v>8</v>
      </c>
      <c r="AF15">
        <v>1</v>
      </c>
      <c r="AG15">
        <v>8</v>
      </c>
      <c r="AH15">
        <v>80</v>
      </c>
      <c r="AI15">
        <v>20</v>
      </c>
      <c r="AJ15">
        <v>20</v>
      </c>
      <c r="AK15">
        <v>30</v>
      </c>
      <c r="AL15">
        <v>2</v>
      </c>
      <c r="AM15">
        <v>0</v>
      </c>
      <c r="AN15" t="s">
        <v>83</v>
      </c>
      <c r="AO15">
        <v>1</v>
      </c>
      <c r="AP15">
        <v>15</v>
      </c>
      <c r="AQ15">
        <v>750</v>
      </c>
      <c r="AR15" t="s">
        <v>84</v>
      </c>
      <c r="AS15">
        <v>1</v>
      </c>
      <c r="AT15">
        <v>40</v>
      </c>
      <c r="AU15">
        <v>5</v>
      </c>
      <c r="AV15">
        <v>5</v>
      </c>
      <c r="AW15">
        <v>20</v>
      </c>
      <c r="AX15">
        <v>4</v>
      </c>
      <c r="AY15">
        <v>0</v>
      </c>
      <c r="AZ15" t="s">
        <v>83</v>
      </c>
      <c r="BA15">
        <v>0.2</v>
      </c>
      <c r="BB15">
        <v>8</v>
      </c>
      <c r="BC15">
        <v>0</v>
      </c>
      <c r="BD15">
        <v>750</v>
      </c>
      <c r="BE15" t="b">
        <v>0</v>
      </c>
      <c r="BF15">
        <v>6</v>
      </c>
      <c r="BG15">
        <v>0</v>
      </c>
      <c r="BH15">
        <v>1</v>
      </c>
      <c r="BI15">
        <v>1</v>
      </c>
      <c r="BJ15">
        <v>16</v>
      </c>
      <c r="BK15" t="s">
        <v>73</v>
      </c>
      <c r="BL15">
        <v>200</v>
      </c>
      <c r="BM15">
        <v>1000</v>
      </c>
      <c r="BN15" t="b">
        <v>0</v>
      </c>
      <c r="BO15" t="s">
        <v>85</v>
      </c>
      <c r="BP15">
        <v>2021</v>
      </c>
      <c r="BQ15" t="s">
        <v>86</v>
      </c>
      <c r="BR15" t="s">
        <v>139</v>
      </c>
    </row>
    <row r="16" spans="1:70">
      <c r="A16" t="s">
        <v>140</v>
      </c>
      <c r="B16" t="s">
        <v>71</v>
      </c>
      <c r="C16" t="s">
        <v>141</v>
      </c>
      <c r="D16" t="s">
        <v>73</v>
      </c>
      <c r="E16" t="s">
        <v>74</v>
      </c>
      <c r="F16">
        <v>14</v>
      </c>
      <c r="G16">
        <v>0.542290462643636</v>
      </c>
      <c r="H16">
        <v>0.513840078752718</v>
      </c>
      <c r="I16">
        <v>0.67</v>
      </c>
      <c r="J16">
        <v>0.710625</v>
      </c>
      <c r="K16" t="s">
        <v>75</v>
      </c>
      <c r="L16" t="s">
        <v>142</v>
      </c>
      <c r="M16">
        <v>-4.9735</v>
      </c>
      <c r="N16">
        <v>93.75</v>
      </c>
      <c r="O16">
        <f t="shared" si="0"/>
        <v>60</v>
      </c>
      <c r="P16">
        <v>-5.16795</v>
      </c>
      <c r="Q16">
        <f t="shared" si="1"/>
        <v>-310.077</v>
      </c>
      <c r="R16">
        <v>-7.043</v>
      </c>
      <c r="S16">
        <v>100</v>
      </c>
      <c r="T16" t="s">
        <v>77</v>
      </c>
      <c r="U16" t="s">
        <v>78</v>
      </c>
      <c r="V16">
        <v>0</v>
      </c>
      <c r="W16" t="s">
        <v>79</v>
      </c>
      <c r="X16">
        <v>2</v>
      </c>
      <c r="Y16">
        <v>1</v>
      </c>
      <c r="Z16" t="b">
        <v>1</v>
      </c>
      <c r="AA16" t="s">
        <v>80</v>
      </c>
      <c r="AB16" t="s">
        <v>81</v>
      </c>
      <c r="AC16" t="b">
        <v>0</v>
      </c>
      <c r="AD16" t="s">
        <v>82</v>
      </c>
      <c r="AE16">
        <v>8</v>
      </c>
      <c r="AF16">
        <v>1</v>
      </c>
      <c r="AG16">
        <v>8</v>
      </c>
      <c r="AH16">
        <v>80</v>
      </c>
      <c r="AI16">
        <v>20</v>
      </c>
      <c r="AJ16">
        <v>20</v>
      </c>
      <c r="AK16">
        <v>30</v>
      </c>
      <c r="AL16">
        <v>2</v>
      </c>
      <c r="AM16">
        <v>0</v>
      </c>
      <c r="AN16" t="s">
        <v>83</v>
      </c>
      <c r="AO16">
        <v>1</v>
      </c>
      <c r="AP16">
        <v>15</v>
      </c>
      <c r="AQ16">
        <v>750</v>
      </c>
      <c r="AR16" t="s">
        <v>84</v>
      </c>
      <c r="AS16">
        <v>1</v>
      </c>
      <c r="AT16">
        <v>40</v>
      </c>
      <c r="AU16">
        <v>5</v>
      </c>
      <c r="AV16">
        <v>5</v>
      </c>
      <c r="AW16">
        <v>20</v>
      </c>
      <c r="AX16">
        <v>4</v>
      </c>
      <c r="AY16">
        <v>0</v>
      </c>
      <c r="AZ16" t="s">
        <v>83</v>
      </c>
      <c r="BA16">
        <v>0.2</v>
      </c>
      <c r="BB16">
        <v>8</v>
      </c>
      <c r="BC16">
        <v>0</v>
      </c>
      <c r="BD16">
        <v>750</v>
      </c>
      <c r="BE16" t="b">
        <v>0</v>
      </c>
      <c r="BF16">
        <v>6</v>
      </c>
      <c r="BG16">
        <v>0</v>
      </c>
      <c r="BH16">
        <v>1</v>
      </c>
      <c r="BI16">
        <v>1</v>
      </c>
      <c r="BJ16">
        <v>16</v>
      </c>
      <c r="BK16" t="s">
        <v>73</v>
      </c>
      <c r="BL16">
        <v>200</v>
      </c>
      <c r="BM16">
        <v>1000</v>
      </c>
      <c r="BN16" t="b">
        <v>0</v>
      </c>
      <c r="BO16" t="s">
        <v>85</v>
      </c>
      <c r="BP16">
        <v>2021</v>
      </c>
      <c r="BQ16" t="s">
        <v>86</v>
      </c>
      <c r="BR16" t="s">
        <v>143</v>
      </c>
    </row>
    <row r="17" spans="1:70">
      <c r="A17" t="s">
        <v>144</v>
      </c>
      <c r="B17" t="s">
        <v>71</v>
      </c>
      <c r="C17" t="s">
        <v>145</v>
      </c>
      <c r="D17" t="s">
        <v>73</v>
      </c>
      <c r="E17" t="s">
        <v>74</v>
      </c>
      <c r="F17">
        <v>15</v>
      </c>
      <c r="G17">
        <v>0.666867703720907</v>
      </c>
      <c r="H17">
        <v>0.646240889481008</v>
      </c>
      <c r="I17">
        <v>0.605</v>
      </c>
      <c r="J17">
        <v>0.59390625</v>
      </c>
      <c r="K17" t="s">
        <v>75</v>
      </c>
      <c r="L17" t="s">
        <v>146</v>
      </c>
      <c r="M17">
        <v>-6.909</v>
      </c>
      <c r="N17">
        <v>98.4375</v>
      </c>
      <c r="O17">
        <f t="shared" si="0"/>
        <v>63</v>
      </c>
      <c r="P17">
        <v>-7.08890476190476</v>
      </c>
      <c r="Q17">
        <f t="shared" si="1"/>
        <v>-446.601</v>
      </c>
      <c r="R17">
        <v>-9.915</v>
      </c>
      <c r="S17">
        <v>100</v>
      </c>
      <c r="T17" t="s">
        <v>77</v>
      </c>
      <c r="U17" t="s">
        <v>78</v>
      </c>
      <c r="V17">
        <v>0</v>
      </c>
      <c r="W17" t="s">
        <v>79</v>
      </c>
      <c r="X17">
        <v>2</v>
      </c>
      <c r="Y17">
        <v>1</v>
      </c>
      <c r="Z17" t="b">
        <v>1</v>
      </c>
      <c r="AA17" t="s">
        <v>80</v>
      </c>
      <c r="AB17" t="s">
        <v>81</v>
      </c>
      <c r="AC17" t="b">
        <v>0</v>
      </c>
      <c r="AD17" t="s">
        <v>82</v>
      </c>
      <c r="AE17">
        <v>8</v>
      </c>
      <c r="AF17">
        <v>1</v>
      </c>
      <c r="AG17">
        <v>8</v>
      </c>
      <c r="AH17">
        <v>80</v>
      </c>
      <c r="AI17">
        <v>20</v>
      </c>
      <c r="AJ17">
        <v>20</v>
      </c>
      <c r="AK17">
        <v>30</v>
      </c>
      <c r="AL17">
        <v>2</v>
      </c>
      <c r="AM17">
        <v>0</v>
      </c>
      <c r="AN17" t="s">
        <v>83</v>
      </c>
      <c r="AO17">
        <v>1</v>
      </c>
      <c r="AP17">
        <v>15</v>
      </c>
      <c r="AQ17">
        <v>750</v>
      </c>
      <c r="AR17" t="s">
        <v>84</v>
      </c>
      <c r="AS17">
        <v>1</v>
      </c>
      <c r="AT17">
        <v>40</v>
      </c>
      <c r="AU17">
        <v>5</v>
      </c>
      <c r="AV17">
        <v>5</v>
      </c>
      <c r="AW17">
        <v>20</v>
      </c>
      <c r="AX17">
        <v>4</v>
      </c>
      <c r="AY17">
        <v>0</v>
      </c>
      <c r="AZ17" t="s">
        <v>83</v>
      </c>
      <c r="BA17">
        <v>0.2</v>
      </c>
      <c r="BB17">
        <v>8</v>
      </c>
      <c r="BC17">
        <v>0</v>
      </c>
      <c r="BD17">
        <v>750</v>
      </c>
      <c r="BE17" t="b">
        <v>0</v>
      </c>
      <c r="BF17">
        <v>6</v>
      </c>
      <c r="BG17">
        <v>0</v>
      </c>
      <c r="BH17">
        <v>1</v>
      </c>
      <c r="BI17">
        <v>1</v>
      </c>
      <c r="BJ17">
        <v>16</v>
      </c>
      <c r="BK17" t="s">
        <v>73</v>
      </c>
      <c r="BL17">
        <v>200</v>
      </c>
      <c r="BM17">
        <v>1000</v>
      </c>
      <c r="BN17" t="b">
        <v>0</v>
      </c>
      <c r="BO17" t="s">
        <v>85</v>
      </c>
      <c r="BP17">
        <v>2021</v>
      </c>
      <c r="BQ17" t="s">
        <v>86</v>
      </c>
      <c r="BR17" t="s">
        <v>147</v>
      </c>
    </row>
    <row r="18" spans="1:70">
      <c r="A18" t="s">
        <v>148</v>
      </c>
      <c r="B18" t="s">
        <v>71</v>
      </c>
      <c r="C18" t="s">
        <v>149</v>
      </c>
      <c r="D18" t="s">
        <v>73</v>
      </c>
      <c r="E18" t="s">
        <v>74</v>
      </c>
      <c r="F18">
        <v>16</v>
      </c>
      <c r="G18">
        <v>0.28470885770602</v>
      </c>
      <c r="H18">
        <v>0.291503524398456</v>
      </c>
      <c r="I18">
        <v>0.56</v>
      </c>
      <c r="J18">
        <v>0.5609375</v>
      </c>
      <c r="K18" t="s">
        <v>75</v>
      </c>
      <c r="L18" t="s">
        <v>150</v>
      </c>
      <c r="M18">
        <v>-8.005</v>
      </c>
      <c r="N18">
        <v>57.8125</v>
      </c>
      <c r="O18">
        <f t="shared" si="0"/>
        <v>37</v>
      </c>
      <c r="P18">
        <v>-8.14581081081081</v>
      </c>
      <c r="Q18">
        <f t="shared" si="1"/>
        <v>-301.395</v>
      </c>
      <c r="R18">
        <v>-10.817</v>
      </c>
      <c r="S18">
        <v>100</v>
      </c>
      <c r="T18" t="s">
        <v>77</v>
      </c>
      <c r="U18" t="s">
        <v>78</v>
      </c>
      <c r="V18">
        <v>0</v>
      </c>
      <c r="W18" t="s">
        <v>79</v>
      </c>
      <c r="X18">
        <v>2</v>
      </c>
      <c r="Y18">
        <v>1</v>
      </c>
      <c r="Z18" t="b">
        <v>1</v>
      </c>
      <c r="AA18" t="s">
        <v>80</v>
      </c>
      <c r="AB18" t="s">
        <v>81</v>
      </c>
      <c r="AC18" t="b">
        <v>0</v>
      </c>
      <c r="AD18" t="s">
        <v>82</v>
      </c>
      <c r="AE18">
        <v>8</v>
      </c>
      <c r="AF18">
        <v>1</v>
      </c>
      <c r="AG18">
        <v>8</v>
      </c>
      <c r="AH18">
        <v>80</v>
      </c>
      <c r="AI18">
        <v>20</v>
      </c>
      <c r="AJ18">
        <v>20</v>
      </c>
      <c r="AK18">
        <v>30</v>
      </c>
      <c r="AL18">
        <v>2</v>
      </c>
      <c r="AM18">
        <v>0</v>
      </c>
      <c r="AN18" t="s">
        <v>83</v>
      </c>
      <c r="AO18">
        <v>1</v>
      </c>
      <c r="AP18">
        <v>15</v>
      </c>
      <c r="AQ18">
        <v>750</v>
      </c>
      <c r="AR18" t="s">
        <v>84</v>
      </c>
      <c r="AS18">
        <v>1</v>
      </c>
      <c r="AT18">
        <v>40</v>
      </c>
      <c r="AU18">
        <v>5</v>
      </c>
      <c r="AV18">
        <v>5</v>
      </c>
      <c r="AW18">
        <v>20</v>
      </c>
      <c r="AX18">
        <v>4</v>
      </c>
      <c r="AY18">
        <v>0</v>
      </c>
      <c r="AZ18" t="s">
        <v>83</v>
      </c>
      <c r="BA18">
        <v>0.2</v>
      </c>
      <c r="BB18">
        <v>8</v>
      </c>
      <c r="BC18">
        <v>0</v>
      </c>
      <c r="BD18">
        <v>750</v>
      </c>
      <c r="BE18" t="b">
        <v>0</v>
      </c>
      <c r="BF18">
        <v>6</v>
      </c>
      <c r="BG18">
        <v>0</v>
      </c>
      <c r="BH18">
        <v>1</v>
      </c>
      <c r="BI18">
        <v>1</v>
      </c>
      <c r="BJ18">
        <v>16</v>
      </c>
      <c r="BK18" t="s">
        <v>73</v>
      </c>
      <c r="BL18">
        <v>200</v>
      </c>
      <c r="BM18">
        <v>1000</v>
      </c>
      <c r="BN18" t="b">
        <v>0</v>
      </c>
      <c r="BO18" t="s">
        <v>85</v>
      </c>
      <c r="BP18">
        <v>2021</v>
      </c>
      <c r="BQ18" t="s">
        <v>86</v>
      </c>
      <c r="BR18" t="s">
        <v>151</v>
      </c>
    </row>
    <row r="19" spans="1:70">
      <c r="A19" t="s">
        <v>152</v>
      </c>
      <c r="B19" t="s">
        <v>71</v>
      </c>
      <c r="C19" t="s">
        <v>153</v>
      </c>
      <c r="D19" t="s">
        <v>73</v>
      </c>
      <c r="E19" t="s">
        <v>74</v>
      </c>
      <c r="F19">
        <v>17</v>
      </c>
      <c r="G19">
        <v>0.311039633653448</v>
      </c>
      <c r="H19">
        <v>0.321592766821709</v>
      </c>
      <c r="I19">
        <v>0.6</v>
      </c>
      <c r="J19">
        <v>0.592950819672131</v>
      </c>
      <c r="K19" t="s">
        <v>75</v>
      </c>
      <c r="L19" t="s">
        <v>154</v>
      </c>
      <c r="M19">
        <v>-8.1265</v>
      </c>
      <c r="N19">
        <v>56.25</v>
      </c>
      <c r="O19">
        <f t="shared" si="0"/>
        <v>36</v>
      </c>
      <c r="P19">
        <v>-8.45802777777778</v>
      </c>
      <c r="Q19">
        <f t="shared" si="1"/>
        <v>-304.489</v>
      </c>
      <c r="R19">
        <v>-11.833</v>
      </c>
      <c r="S19">
        <v>95.3125</v>
      </c>
      <c r="T19" t="s">
        <v>77</v>
      </c>
      <c r="U19" t="s">
        <v>78</v>
      </c>
      <c r="V19">
        <v>0</v>
      </c>
      <c r="W19" t="s">
        <v>79</v>
      </c>
      <c r="X19">
        <v>2</v>
      </c>
      <c r="Y19">
        <v>1</v>
      </c>
      <c r="Z19" t="b">
        <v>1</v>
      </c>
      <c r="AA19" t="s">
        <v>80</v>
      </c>
      <c r="AB19" t="s">
        <v>81</v>
      </c>
      <c r="AC19" t="b">
        <v>0</v>
      </c>
      <c r="AD19" t="s">
        <v>82</v>
      </c>
      <c r="AE19">
        <v>8</v>
      </c>
      <c r="AF19">
        <v>1</v>
      </c>
      <c r="AG19">
        <v>8</v>
      </c>
      <c r="AH19">
        <v>80</v>
      </c>
      <c r="AI19">
        <v>20</v>
      </c>
      <c r="AJ19">
        <v>20</v>
      </c>
      <c r="AK19">
        <v>30</v>
      </c>
      <c r="AL19">
        <v>2</v>
      </c>
      <c r="AM19">
        <v>0</v>
      </c>
      <c r="AN19" t="s">
        <v>83</v>
      </c>
      <c r="AO19">
        <v>1</v>
      </c>
      <c r="AP19">
        <v>15</v>
      </c>
      <c r="AQ19">
        <v>750</v>
      </c>
      <c r="AR19" t="s">
        <v>84</v>
      </c>
      <c r="AS19">
        <v>1</v>
      </c>
      <c r="AT19">
        <v>40</v>
      </c>
      <c r="AU19">
        <v>5</v>
      </c>
      <c r="AV19">
        <v>5</v>
      </c>
      <c r="AW19">
        <v>20</v>
      </c>
      <c r="AX19">
        <v>4</v>
      </c>
      <c r="AY19">
        <v>0</v>
      </c>
      <c r="AZ19" t="s">
        <v>83</v>
      </c>
      <c r="BA19">
        <v>0.2</v>
      </c>
      <c r="BB19">
        <v>8</v>
      </c>
      <c r="BC19">
        <v>0</v>
      </c>
      <c r="BD19">
        <v>750</v>
      </c>
      <c r="BE19" t="b">
        <v>0</v>
      </c>
      <c r="BF19">
        <v>6</v>
      </c>
      <c r="BG19">
        <v>0</v>
      </c>
      <c r="BH19">
        <v>1</v>
      </c>
      <c r="BI19">
        <v>1</v>
      </c>
      <c r="BJ19">
        <v>16</v>
      </c>
      <c r="BK19" t="s">
        <v>73</v>
      </c>
      <c r="BL19">
        <v>200</v>
      </c>
      <c r="BM19">
        <v>1000</v>
      </c>
      <c r="BN19" t="b">
        <v>0</v>
      </c>
      <c r="BO19" t="s">
        <v>85</v>
      </c>
      <c r="BP19">
        <v>2021</v>
      </c>
      <c r="BQ19" t="s">
        <v>86</v>
      </c>
      <c r="BR19" t="s">
        <v>155</v>
      </c>
    </row>
    <row r="20" spans="1:70">
      <c r="A20" t="s">
        <v>156</v>
      </c>
      <c r="B20" t="s">
        <v>71</v>
      </c>
      <c r="C20" t="s">
        <v>157</v>
      </c>
      <c r="D20" t="s">
        <v>73</v>
      </c>
      <c r="E20" t="s">
        <v>74</v>
      </c>
      <c r="F20">
        <v>18</v>
      </c>
      <c r="G20">
        <v>0.323497332193729</v>
      </c>
      <c r="H20">
        <v>0.354349637298685</v>
      </c>
      <c r="I20">
        <v>0.645</v>
      </c>
      <c r="J20">
        <v>0.6496875</v>
      </c>
      <c r="K20" t="s">
        <v>75</v>
      </c>
      <c r="L20" t="s">
        <v>158</v>
      </c>
      <c r="M20">
        <v>-6.093</v>
      </c>
      <c r="N20">
        <v>56.25</v>
      </c>
      <c r="O20">
        <f t="shared" si="0"/>
        <v>36</v>
      </c>
      <c r="P20">
        <v>-6.13847222222222</v>
      </c>
      <c r="Q20">
        <f t="shared" si="1"/>
        <v>-220.985</v>
      </c>
      <c r="R20">
        <v>-8.29</v>
      </c>
      <c r="S20">
        <v>100</v>
      </c>
      <c r="T20" t="s">
        <v>77</v>
      </c>
      <c r="U20" t="s">
        <v>78</v>
      </c>
      <c r="V20">
        <v>0</v>
      </c>
      <c r="W20" t="s">
        <v>79</v>
      </c>
      <c r="X20">
        <v>2</v>
      </c>
      <c r="Y20">
        <v>1</v>
      </c>
      <c r="Z20" t="b">
        <v>1</v>
      </c>
      <c r="AA20" t="s">
        <v>80</v>
      </c>
      <c r="AB20" t="s">
        <v>81</v>
      </c>
      <c r="AC20" t="b">
        <v>0</v>
      </c>
      <c r="AD20" t="s">
        <v>82</v>
      </c>
      <c r="AE20">
        <v>8</v>
      </c>
      <c r="AF20">
        <v>1</v>
      </c>
      <c r="AG20">
        <v>8</v>
      </c>
      <c r="AH20">
        <v>80</v>
      </c>
      <c r="AI20">
        <v>20</v>
      </c>
      <c r="AJ20">
        <v>20</v>
      </c>
      <c r="AK20">
        <v>30</v>
      </c>
      <c r="AL20">
        <v>2</v>
      </c>
      <c r="AM20">
        <v>0</v>
      </c>
      <c r="AN20" t="s">
        <v>83</v>
      </c>
      <c r="AO20">
        <v>1</v>
      </c>
      <c r="AP20">
        <v>15</v>
      </c>
      <c r="AQ20">
        <v>750</v>
      </c>
      <c r="AR20" t="s">
        <v>84</v>
      </c>
      <c r="AS20">
        <v>1</v>
      </c>
      <c r="AT20">
        <v>40</v>
      </c>
      <c r="AU20">
        <v>5</v>
      </c>
      <c r="AV20">
        <v>5</v>
      </c>
      <c r="AW20">
        <v>20</v>
      </c>
      <c r="AX20">
        <v>4</v>
      </c>
      <c r="AY20">
        <v>0</v>
      </c>
      <c r="AZ20" t="s">
        <v>83</v>
      </c>
      <c r="BA20">
        <v>0.2</v>
      </c>
      <c r="BB20">
        <v>8</v>
      </c>
      <c r="BC20">
        <v>0</v>
      </c>
      <c r="BD20">
        <v>750</v>
      </c>
      <c r="BE20" t="b">
        <v>0</v>
      </c>
      <c r="BF20">
        <v>6</v>
      </c>
      <c r="BG20">
        <v>0</v>
      </c>
      <c r="BH20">
        <v>1</v>
      </c>
      <c r="BI20">
        <v>1</v>
      </c>
      <c r="BJ20">
        <v>16</v>
      </c>
      <c r="BK20" t="s">
        <v>73</v>
      </c>
      <c r="BL20">
        <v>200</v>
      </c>
      <c r="BM20">
        <v>1000</v>
      </c>
      <c r="BN20" t="b">
        <v>0</v>
      </c>
      <c r="BO20" t="s">
        <v>85</v>
      </c>
      <c r="BP20">
        <v>2021</v>
      </c>
      <c r="BQ20" t="s">
        <v>86</v>
      </c>
      <c r="BR20" t="s">
        <v>159</v>
      </c>
    </row>
    <row r="21" spans="1:70">
      <c r="A21" t="s">
        <v>160</v>
      </c>
      <c r="B21" t="s">
        <v>71</v>
      </c>
      <c r="C21" t="s">
        <v>161</v>
      </c>
      <c r="D21" t="s">
        <v>73</v>
      </c>
      <c r="E21" t="s">
        <v>74</v>
      </c>
      <c r="F21">
        <v>19</v>
      </c>
      <c r="G21">
        <v>0.301745891849318</v>
      </c>
      <c r="H21">
        <v>0.334601728246477</v>
      </c>
      <c r="I21">
        <v>0.58</v>
      </c>
      <c r="J21">
        <v>0.582222222222222</v>
      </c>
      <c r="K21" t="s">
        <v>75</v>
      </c>
      <c r="L21" t="s">
        <v>162</v>
      </c>
      <c r="M21">
        <v>-9.194</v>
      </c>
      <c r="N21">
        <v>82.8125</v>
      </c>
      <c r="O21">
        <f t="shared" si="0"/>
        <v>53</v>
      </c>
      <c r="P21">
        <v>-9.42403773584905</v>
      </c>
      <c r="Q21">
        <f t="shared" si="1"/>
        <v>-499.474</v>
      </c>
      <c r="R21">
        <v>-12.492</v>
      </c>
      <c r="S21">
        <v>98.4375</v>
      </c>
      <c r="T21" t="s">
        <v>77</v>
      </c>
      <c r="U21" t="s">
        <v>78</v>
      </c>
      <c r="V21">
        <v>0</v>
      </c>
      <c r="W21" t="s">
        <v>79</v>
      </c>
      <c r="X21">
        <v>2</v>
      </c>
      <c r="Y21">
        <v>1</v>
      </c>
      <c r="Z21" t="b">
        <v>1</v>
      </c>
      <c r="AA21" t="s">
        <v>80</v>
      </c>
      <c r="AB21" t="s">
        <v>81</v>
      </c>
      <c r="AC21" t="b">
        <v>0</v>
      </c>
      <c r="AD21" t="s">
        <v>82</v>
      </c>
      <c r="AE21">
        <v>8</v>
      </c>
      <c r="AF21">
        <v>1</v>
      </c>
      <c r="AG21">
        <v>8</v>
      </c>
      <c r="AH21">
        <v>80</v>
      </c>
      <c r="AI21">
        <v>20</v>
      </c>
      <c r="AJ21">
        <v>20</v>
      </c>
      <c r="AK21">
        <v>30</v>
      </c>
      <c r="AL21">
        <v>2</v>
      </c>
      <c r="AM21">
        <v>0</v>
      </c>
      <c r="AN21" t="s">
        <v>83</v>
      </c>
      <c r="AO21">
        <v>1</v>
      </c>
      <c r="AP21">
        <v>15</v>
      </c>
      <c r="AQ21">
        <v>750</v>
      </c>
      <c r="AR21" t="s">
        <v>84</v>
      </c>
      <c r="AS21">
        <v>1</v>
      </c>
      <c r="AT21">
        <v>40</v>
      </c>
      <c r="AU21">
        <v>5</v>
      </c>
      <c r="AV21">
        <v>5</v>
      </c>
      <c r="AW21">
        <v>20</v>
      </c>
      <c r="AX21">
        <v>4</v>
      </c>
      <c r="AY21">
        <v>0</v>
      </c>
      <c r="AZ21" t="s">
        <v>83</v>
      </c>
      <c r="BA21">
        <v>0.2</v>
      </c>
      <c r="BB21">
        <v>8</v>
      </c>
      <c r="BC21">
        <v>0</v>
      </c>
      <c r="BD21">
        <v>750</v>
      </c>
      <c r="BE21" t="b">
        <v>0</v>
      </c>
      <c r="BF21">
        <v>6</v>
      </c>
      <c r="BG21">
        <v>0</v>
      </c>
      <c r="BH21">
        <v>1</v>
      </c>
      <c r="BI21">
        <v>1</v>
      </c>
      <c r="BJ21">
        <v>16</v>
      </c>
      <c r="BK21" t="s">
        <v>73</v>
      </c>
      <c r="BL21">
        <v>200</v>
      </c>
      <c r="BM21">
        <v>1000</v>
      </c>
      <c r="BN21" t="b">
        <v>0</v>
      </c>
      <c r="BO21" t="s">
        <v>85</v>
      </c>
      <c r="BP21">
        <v>2021</v>
      </c>
      <c r="BQ21" t="s">
        <v>86</v>
      </c>
      <c r="BR21" t="s">
        <v>163</v>
      </c>
    </row>
    <row r="22" spans="1:70">
      <c r="A22" t="s">
        <v>164</v>
      </c>
      <c r="B22" t="s">
        <v>71</v>
      </c>
      <c r="C22" t="s">
        <v>165</v>
      </c>
      <c r="D22" t="s">
        <v>73</v>
      </c>
      <c r="E22" t="s">
        <v>74</v>
      </c>
      <c r="F22">
        <v>20</v>
      </c>
      <c r="G22">
        <v>0.589278569297821</v>
      </c>
      <c r="H22">
        <v>0.571137207581923</v>
      </c>
      <c r="I22">
        <v>0.625</v>
      </c>
      <c r="J22">
        <v>0.635</v>
      </c>
      <c r="K22" t="s">
        <v>75</v>
      </c>
      <c r="L22" t="s">
        <v>166</v>
      </c>
      <c r="M22">
        <v>-7.647</v>
      </c>
      <c r="N22">
        <v>90.625</v>
      </c>
      <c r="O22">
        <f t="shared" si="0"/>
        <v>58</v>
      </c>
      <c r="P22">
        <v>-7.44203448275862</v>
      </c>
      <c r="Q22">
        <f t="shared" si="1"/>
        <v>-431.638</v>
      </c>
      <c r="R22">
        <v>-9.493</v>
      </c>
      <c r="S22">
        <v>100</v>
      </c>
      <c r="T22" t="s">
        <v>77</v>
      </c>
      <c r="U22" t="s">
        <v>78</v>
      </c>
      <c r="V22">
        <v>0</v>
      </c>
      <c r="W22" t="s">
        <v>79</v>
      </c>
      <c r="X22">
        <v>2</v>
      </c>
      <c r="Y22">
        <v>1</v>
      </c>
      <c r="Z22" t="b">
        <v>1</v>
      </c>
      <c r="AA22" t="s">
        <v>80</v>
      </c>
      <c r="AB22" t="s">
        <v>81</v>
      </c>
      <c r="AC22" t="b">
        <v>0</v>
      </c>
      <c r="AD22" t="s">
        <v>82</v>
      </c>
      <c r="AE22">
        <v>8</v>
      </c>
      <c r="AF22">
        <v>1</v>
      </c>
      <c r="AG22">
        <v>8</v>
      </c>
      <c r="AH22">
        <v>80</v>
      </c>
      <c r="AI22">
        <v>20</v>
      </c>
      <c r="AJ22">
        <v>20</v>
      </c>
      <c r="AK22">
        <v>30</v>
      </c>
      <c r="AL22">
        <v>2</v>
      </c>
      <c r="AM22">
        <v>0</v>
      </c>
      <c r="AN22" t="s">
        <v>83</v>
      </c>
      <c r="AO22">
        <v>1</v>
      </c>
      <c r="AP22">
        <v>15</v>
      </c>
      <c r="AQ22">
        <v>750</v>
      </c>
      <c r="AR22" t="s">
        <v>84</v>
      </c>
      <c r="AS22">
        <v>1</v>
      </c>
      <c r="AT22">
        <v>40</v>
      </c>
      <c r="AU22">
        <v>5</v>
      </c>
      <c r="AV22">
        <v>5</v>
      </c>
      <c r="AW22">
        <v>20</v>
      </c>
      <c r="AX22">
        <v>4</v>
      </c>
      <c r="AY22">
        <v>0</v>
      </c>
      <c r="AZ22" t="s">
        <v>83</v>
      </c>
      <c r="BA22">
        <v>0.2</v>
      </c>
      <c r="BB22">
        <v>8</v>
      </c>
      <c r="BC22">
        <v>0</v>
      </c>
      <c r="BD22">
        <v>750</v>
      </c>
      <c r="BE22" t="b">
        <v>0</v>
      </c>
      <c r="BF22">
        <v>6</v>
      </c>
      <c r="BG22">
        <v>0</v>
      </c>
      <c r="BH22">
        <v>1</v>
      </c>
      <c r="BI22">
        <v>1</v>
      </c>
      <c r="BJ22">
        <v>16</v>
      </c>
      <c r="BK22" t="s">
        <v>73</v>
      </c>
      <c r="BL22">
        <v>200</v>
      </c>
      <c r="BM22">
        <v>1000</v>
      </c>
      <c r="BN22" t="b">
        <v>0</v>
      </c>
      <c r="BO22" t="s">
        <v>85</v>
      </c>
      <c r="BP22">
        <v>2021</v>
      </c>
      <c r="BQ22" t="s">
        <v>86</v>
      </c>
      <c r="BR22" t="s">
        <v>167</v>
      </c>
    </row>
    <row r="23" spans="1:70">
      <c r="A23" t="s">
        <v>168</v>
      </c>
      <c r="B23" t="s">
        <v>71</v>
      </c>
      <c r="C23" t="s">
        <v>169</v>
      </c>
      <c r="D23" t="s">
        <v>73</v>
      </c>
      <c r="E23" t="s">
        <v>74</v>
      </c>
      <c r="F23">
        <v>21</v>
      </c>
      <c r="G23">
        <v>0.426342086301181</v>
      </c>
      <c r="H23">
        <v>0.460622692624654</v>
      </c>
      <c r="I23">
        <v>0.675</v>
      </c>
      <c r="J23">
        <v>0.67328125</v>
      </c>
      <c r="K23" t="s">
        <v>75</v>
      </c>
      <c r="L23" t="s">
        <v>170</v>
      </c>
      <c r="M23">
        <v>-8.8985</v>
      </c>
      <c r="N23">
        <v>93.75</v>
      </c>
      <c r="O23">
        <f t="shared" si="0"/>
        <v>60</v>
      </c>
      <c r="P23">
        <v>-8.87376666666667</v>
      </c>
      <c r="Q23">
        <f t="shared" si="1"/>
        <v>-532.426</v>
      </c>
      <c r="R23">
        <v>-14.579</v>
      </c>
      <c r="S23">
        <v>100</v>
      </c>
      <c r="T23" t="s">
        <v>77</v>
      </c>
      <c r="U23" t="s">
        <v>78</v>
      </c>
      <c r="V23">
        <v>0</v>
      </c>
      <c r="W23" t="s">
        <v>79</v>
      </c>
      <c r="X23">
        <v>2</v>
      </c>
      <c r="Y23">
        <v>1</v>
      </c>
      <c r="Z23" t="b">
        <v>1</v>
      </c>
      <c r="AA23" t="s">
        <v>80</v>
      </c>
      <c r="AB23" t="s">
        <v>81</v>
      </c>
      <c r="AC23" t="b">
        <v>0</v>
      </c>
      <c r="AD23" t="s">
        <v>82</v>
      </c>
      <c r="AE23">
        <v>8</v>
      </c>
      <c r="AF23">
        <v>1</v>
      </c>
      <c r="AG23">
        <v>8</v>
      </c>
      <c r="AH23">
        <v>80</v>
      </c>
      <c r="AI23">
        <v>20</v>
      </c>
      <c r="AJ23">
        <v>20</v>
      </c>
      <c r="AK23">
        <v>30</v>
      </c>
      <c r="AL23">
        <v>2</v>
      </c>
      <c r="AM23">
        <v>0</v>
      </c>
      <c r="AN23" t="s">
        <v>83</v>
      </c>
      <c r="AO23">
        <v>1</v>
      </c>
      <c r="AP23">
        <v>15</v>
      </c>
      <c r="AQ23">
        <v>750</v>
      </c>
      <c r="AR23" t="s">
        <v>84</v>
      </c>
      <c r="AS23">
        <v>1</v>
      </c>
      <c r="AT23">
        <v>40</v>
      </c>
      <c r="AU23">
        <v>5</v>
      </c>
      <c r="AV23">
        <v>5</v>
      </c>
      <c r="AW23">
        <v>20</v>
      </c>
      <c r="AX23">
        <v>4</v>
      </c>
      <c r="AY23">
        <v>0</v>
      </c>
      <c r="AZ23" t="s">
        <v>83</v>
      </c>
      <c r="BA23">
        <v>0.2</v>
      </c>
      <c r="BB23">
        <v>8</v>
      </c>
      <c r="BC23">
        <v>0</v>
      </c>
      <c r="BD23">
        <v>750</v>
      </c>
      <c r="BE23" t="b">
        <v>0</v>
      </c>
      <c r="BF23">
        <v>6</v>
      </c>
      <c r="BG23">
        <v>0</v>
      </c>
      <c r="BH23">
        <v>1</v>
      </c>
      <c r="BI23">
        <v>1</v>
      </c>
      <c r="BJ23">
        <v>16</v>
      </c>
      <c r="BK23" t="s">
        <v>73</v>
      </c>
      <c r="BL23">
        <v>200</v>
      </c>
      <c r="BM23">
        <v>1000</v>
      </c>
      <c r="BN23" t="b">
        <v>0</v>
      </c>
      <c r="BO23" t="s">
        <v>85</v>
      </c>
      <c r="BP23">
        <v>2021</v>
      </c>
      <c r="BQ23" t="s">
        <v>86</v>
      </c>
      <c r="BR23" t="s">
        <v>171</v>
      </c>
    </row>
    <row r="24" spans="1:70">
      <c r="A24" t="s">
        <v>172</v>
      </c>
      <c r="B24" t="s">
        <v>71</v>
      </c>
      <c r="C24" t="s">
        <v>173</v>
      </c>
      <c r="D24" t="s">
        <v>73</v>
      </c>
      <c r="E24" t="s">
        <v>74</v>
      </c>
      <c r="F24">
        <v>22</v>
      </c>
      <c r="G24">
        <v>0.256705934733355</v>
      </c>
      <c r="H24">
        <v>0.25753643457269</v>
      </c>
      <c r="I24">
        <v>0.53</v>
      </c>
      <c r="J24">
        <v>0.541129032258065</v>
      </c>
      <c r="K24" t="s">
        <v>75</v>
      </c>
      <c r="L24" t="s">
        <v>174</v>
      </c>
      <c r="M24">
        <v>-10.161</v>
      </c>
      <c r="N24">
        <v>70.3125</v>
      </c>
      <c r="O24">
        <f t="shared" si="0"/>
        <v>45</v>
      </c>
      <c r="P24">
        <v>-10.4073111111111</v>
      </c>
      <c r="Q24">
        <f t="shared" si="1"/>
        <v>-468.329</v>
      </c>
      <c r="R24">
        <v>-22.604</v>
      </c>
      <c r="S24">
        <v>96.875</v>
      </c>
      <c r="T24" t="s">
        <v>77</v>
      </c>
      <c r="U24" t="s">
        <v>78</v>
      </c>
      <c r="V24">
        <v>0</v>
      </c>
      <c r="W24" t="s">
        <v>79</v>
      </c>
      <c r="X24">
        <v>2</v>
      </c>
      <c r="Y24">
        <v>1</v>
      </c>
      <c r="Z24" t="b">
        <v>1</v>
      </c>
      <c r="AA24" t="s">
        <v>80</v>
      </c>
      <c r="AB24" t="s">
        <v>81</v>
      </c>
      <c r="AC24" t="b">
        <v>0</v>
      </c>
      <c r="AD24" t="s">
        <v>82</v>
      </c>
      <c r="AE24">
        <v>8</v>
      </c>
      <c r="AF24">
        <v>1</v>
      </c>
      <c r="AG24">
        <v>8</v>
      </c>
      <c r="AH24">
        <v>80</v>
      </c>
      <c r="AI24">
        <v>20</v>
      </c>
      <c r="AJ24">
        <v>20</v>
      </c>
      <c r="AK24">
        <v>30</v>
      </c>
      <c r="AL24">
        <v>2</v>
      </c>
      <c r="AM24">
        <v>0</v>
      </c>
      <c r="AN24" t="s">
        <v>83</v>
      </c>
      <c r="AO24">
        <v>1</v>
      </c>
      <c r="AP24">
        <v>15</v>
      </c>
      <c r="AQ24">
        <v>750</v>
      </c>
      <c r="AR24" t="s">
        <v>84</v>
      </c>
      <c r="AS24">
        <v>1</v>
      </c>
      <c r="AT24">
        <v>40</v>
      </c>
      <c r="AU24">
        <v>5</v>
      </c>
      <c r="AV24">
        <v>5</v>
      </c>
      <c r="AW24">
        <v>20</v>
      </c>
      <c r="AX24">
        <v>4</v>
      </c>
      <c r="AY24">
        <v>0</v>
      </c>
      <c r="AZ24" t="s">
        <v>83</v>
      </c>
      <c r="BA24">
        <v>0.2</v>
      </c>
      <c r="BB24">
        <v>8</v>
      </c>
      <c r="BC24">
        <v>0</v>
      </c>
      <c r="BD24">
        <v>750</v>
      </c>
      <c r="BE24" t="b">
        <v>0</v>
      </c>
      <c r="BF24">
        <v>6</v>
      </c>
      <c r="BG24">
        <v>0</v>
      </c>
      <c r="BH24">
        <v>1</v>
      </c>
      <c r="BI24">
        <v>1</v>
      </c>
      <c r="BJ24">
        <v>16</v>
      </c>
      <c r="BK24" t="s">
        <v>73</v>
      </c>
      <c r="BL24">
        <v>200</v>
      </c>
      <c r="BM24">
        <v>1000</v>
      </c>
      <c r="BN24" t="b">
        <v>0</v>
      </c>
      <c r="BO24" t="s">
        <v>85</v>
      </c>
      <c r="BP24">
        <v>2021</v>
      </c>
      <c r="BQ24" t="s">
        <v>86</v>
      </c>
      <c r="BR24" t="s">
        <v>175</v>
      </c>
    </row>
    <row r="25" spans="1:70">
      <c r="A25" t="s">
        <v>176</v>
      </c>
      <c r="B25" t="s">
        <v>71</v>
      </c>
      <c r="C25" t="s">
        <v>177</v>
      </c>
      <c r="D25" t="s">
        <v>73</v>
      </c>
      <c r="E25" t="s">
        <v>74</v>
      </c>
      <c r="F25">
        <v>23</v>
      </c>
      <c r="G25">
        <v>0.432557324703516</v>
      </c>
      <c r="H25">
        <v>0.417047653830429</v>
      </c>
      <c r="I25">
        <v>0.655</v>
      </c>
      <c r="J25">
        <v>0.66296875</v>
      </c>
      <c r="K25" t="s">
        <v>75</v>
      </c>
      <c r="L25" t="s">
        <v>178</v>
      </c>
      <c r="M25">
        <v>-6.5535</v>
      </c>
      <c r="N25">
        <v>84.375</v>
      </c>
      <c r="O25">
        <f t="shared" si="0"/>
        <v>54</v>
      </c>
      <c r="P25">
        <v>-6.7452037037037</v>
      </c>
      <c r="Q25">
        <f t="shared" si="1"/>
        <v>-364.241</v>
      </c>
      <c r="R25">
        <v>-9.559</v>
      </c>
      <c r="S25">
        <v>100</v>
      </c>
      <c r="T25" t="s">
        <v>77</v>
      </c>
      <c r="U25" t="s">
        <v>78</v>
      </c>
      <c r="V25">
        <v>0</v>
      </c>
      <c r="W25" t="s">
        <v>79</v>
      </c>
      <c r="X25">
        <v>2</v>
      </c>
      <c r="Y25">
        <v>1</v>
      </c>
      <c r="Z25" t="b">
        <v>1</v>
      </c>
      <c r="AA25" t="s">
        <v>80</v>
      </c>
      <c r="AB25" t="s">
        <v>81</v>
      </c>
      <c r="AC25" t="b">
        <v>0</v>
      </c>
      <c r="AD25" t="s">
        <v>82</v>
      </c>
      <c r="AE25">
        <v>8</v>
      </c>
      <c r="AF25">
        <v>1</v>
      </c>
      <c r="AG25">
        <v>8</v>
      </c>
      <c r="AH25">
        <v>80</v>
      </c>
      <c r="AI25">
        <v>20</v>
      </c>
      <c r="AJ25">
        <v>20</v>
      </c>
      <c r="AK25">
        <v>30</v>
      </c>
      <c r="AL25">
        <v>2</v>
      </c>
      <c r="AM25">
        <v>0</v>
      </c>
      <c r="AN25" t="s">
        <v>83</v>
      </c>
      <c r="AO25">
        <v>1</v>
      </c>
      <c r="AP25">
        <v>15</v>
      </c>
      <c r="AQ25">
        <v>750</v>
      </c>
      <c r="AR25" t="s">
        <v>84</v>
      </c>
      <c r="AS25">
        <v>1</v>
      </c>
      <c r="AT25">
        <v>40</v>
      </c>
      <c r="AU25">
        <v>5</v>
      </c>
      <c r="AV25">
        <v>5</v>
      </c>
      <c r="AW25">
        <v>20</v>
      </c>
      <c r="AX25">
        <v>4</v>
      </c>
      <c r="AY25">
        <v>0</v>
      </c>
      <c r="AZ25" t="s">
        <v>83</v>
      </c>
      <c r="BA25">
        <v>0.2</v>
      </c>
      <c r="BB25">
        <v>8</v>
      </c>
      <c r="BC25">
        <v>0</v>
      </c>
      <c r="BD25">
        <v>750</v>
      </c>
      <c r="BE25" t="b">
        <v>0</v>
      </c>
      <c r="BF25">
        <v>6</v>
      </c>
      <c r="BG25">
        <v>0</v>
      </c>
      <c r="BH25">
        <v>1</v>
      </c>
      <c r="BI25">
        <v>1</v>
      </c>
      <c r="BJ25">
        <v>16</v>
      </c>
      <c r="BK25" t="s">
        <v>73</v>
      </c>
      <c r="BL25">
        <v>200</v>
      </c>
      <c r="BM25">
        <v>1000</v>
      </c>
      <c r="BN25" t="b">
        <v>0</v>
      </c>
      <c r="BO25" t="s">
        <v>85</v>
      </c>
      <c r="BP25">
        <v>2021</v>
      </c>
      <c r="BQ25" t="s">
        <v>86</v>
      </c>
      <c r="BR25" t="s">
        <v>179</v>
      </c>
    </row>
    <row r="26" spans="1:70">
      <c r="A26" t="s">
        <v>180</v>
      </c>
      <c r="B26" t="s">
        <v>71</v>
      </c>
      <c r="C26" t="s">
        <v>181</v>
      </c>
      <c r="D26" t="s">
        <v>73</v>
      </c>
      <c r="E26" t="s">
        <v>74</v>
      </c>
      <c r="F26">
        <v>24</v>
      </c>
      <c r="G26">
        <v>0.360622179284802</v>
      </c>
      <c r="H26">
        <v>0.358462092619297</v>
      </c>
      <c r="I26">
        <v>0.59</v>
      </c>
      <c r="J26">
        <v>0.59640625</v>
      </c>
      <c r="K26" t="s">
        <v>75</v>
      </c>
      <c r="L26" t="s">
        <v>182</v>
      </c>
      <c r="M26">
        <v>-9.1595</v>
      </c>
      <c r="N26">
        <v>53.125</v>
      </c>
      <c r="O26">
        <f t="shared" si="0"/>
        <v>34</v>
      </c>
      <c r="P26">
        <v>-9.35923529411765</v>
      </c>
      <c r="Q26">
        <f t="shared" si="1"/>
        <v>-318.214</v>
      </c>
      <c r="R26">
        <v>-12.799</v>
      </c>
      <c r="S26">
        <v>100</v>
      </c>
      <c r="T26" t="s">
        <v>77</v>
      </c>
      <c r="U26" t="s">
        <v>78</v>
      </c>
      <c r="V26">
        <v>0</v>
      </c>
      <c r="W26" t="s">
        <v>79</v>
      </c>
      <c r="X26">
        <v>2</v>
      </c>
      <c r="Y26">
        <v>1</v>
      </c>
      <c r="Z26" t="b">
        <v>1</v>
      </c>
      <c r="AA26" t="s">
        <v>80</v>
      </c>
      <c r="AB26" t="s">
        <v>81</v>
      </c>
      <c r="AC26" t="b">
        <v>0</v>
      </c>
      <c r="AD26" t="s">
        <v>82</v>
      </c>
      <c r="AE26">
        <v>8</v>
      </c>
      <c r="AF26">
        <v>1</v>
      </c>
      <c r="AG26">
        <v>8</v>
      </c>
      <c r="AH26">
        <v>80</v>
      </c>
      <c r="AI26">
        <v>20</v>
      </c>
      <c r="AJ26">
        <v>20</v>
      </c>
      <c r="AK26">
        <v>30</v>
      </c>
      <c r="AL26">
        <v>2</v>
      </c>
      <c r="AM26">
        <v>0</v>
      </c>
      <c r="AN26" t="s">
        <v>83</v>
      </c>
      <c r="AO26">
        <v>1</v>
      </c>
      <c r="AP26">
        <v>15</v>
      </c>
      <c r="AQ26">
        <v>750</v>
      </c>
      <c r="AR26" t="s">
        <v>84</v>
      </c>
      <c r="AS26">
        <v>1</v>
      </c>
      <c r="AT26">
        <v>40</v>
      </c>
      <c r="AU26">
        <v>5</v>
      </c>
      <c r="AV26">
        <v>5</v>
      </c>
      <c r="AW26">
        <v>20</v>
      </c>
      <c r="AX26">
        <v>4</v>
      </c>
      <c r="AY26">
        <v>0</v>
      </c>
      <c r="AZ26" t="s">
        <v>83</v>
      </c>
      <c r="BA26">
        <v>0.2</v>
      </c>
      <c r="BB26">
        <v>8</v>
      </c>
      <c r="BC26">
        <v>0</v>
      </c>
      <c r="BD26">
        <v>750</v>
      </c>
      <c r="BE26" t="b">
        <v>0</v>
      </c>
      <c r="BF26">
        <v>6</v>
      </c>
      <c r="BG26">
        <v>0</v>
      </c>
      <c r="BH26">
        <v>1</v>
      </c>
      <c r="BI26">
        <v>1</v>
      </c>
      <c r="BJ26">
        <v>16</v>
      </c>
      <c r="BK26" t="s">
        <v>73</v>
      </c>
      <c r="BL26">
        <v>200</v>
      </c>
      <c r="BM26">
        <v>1000</v>
      </c>
      <c r="BN26" t="b">
        <v>0</v>
      </c>
      <c r="BO26" t="s">
        <v>85</v>
      </c>
      <c r="BP26">
        <v>2021</v>
      </c>
      <c r="BQ26" t="s">
        <v>86</v>
      </c>
      <c r="BR26" t="s">
        <v>183</v>
      </c>
    </row>
    <row r="27" spans="1:70">
      <c r="A27" t="s">
        <v>184</v>
      </c>
      <c r="B27" t="s">
        <v>71</v>
      </c>
      <c r="C27" t="s">
        <v>185</v>
      </c>
      <c r="D27" t="s">
        <v>73</v>
      </c>
      <c r="E27" t="s">
        <v>74</v>
      </c>
      <c r="F27">
        <v>25</v>
      </c>
      <c r="G27">
        <v>0.431085658495095</v>
      </c>
      <c r="H27">
        <v>0.449926832505305</v>
      </c>
      <c r="I27">
        <v>0.66</v>
      </c>
      <c r="J27">
        <v>0.6828125</v>
      </c>
      <c r="K27" t="s">
        <v>75</v>
      </c>
      <c r="L27" t="s">
        <v>186</v>
      </c>
      <c r="M27">
        <v>-6.333</v>
      </c>
      <c r="N27">
        <v>85.9375</v>
      </c>
      <c r="O27">
        <f t="shared" si="0"/>
        <v>55</v>
      </c>
      <c r="P27">
        <v>-6.48805454545454</v>
      </c>
      <c r="Q27">
        <f t="shared" si="1"/>
        <v>-356.843</v>
      </c>
      <c r="R27">
        <v>-10.094</v>
      </c>
      <c r="S27">
        <v>100</v>
      </c>
      <c r="T27" t="s">
        <v>77</v>
      </c>
      <c r="U27" t="s">
        <v>78</v>
      </c>
      <c r="V27">
        <v>0</v>
      </c>
      <c r="W27" t="s">
        <v>79</v>
      </c>
      <c r="X27">
        <v>2</v>
      </c>
      <c r="Y27">
        <v>1</v>
      </c>
      <c r="Z27" t="b">
        <v>1</v>
      </c>
      <c r="AA27" t="s">
        <v>80</v>
      </c>
      <c r="AB27" t="s">
        <v>81</v>
      </c>
      <c r="AC27" t="b">
        <v>0</v>
      </c>
      <c r="AD27" t="s">
        <v>82</v>
      </c>
      <c r="AE27">
        <v>8</v>
      </c>
      <c r="AF27">
        <v>1</v>
      </c>
      <c r="AG27">
        <v>8</v>
      </c>
      <c r="AH27">
        <v>80</v>
      </c>
      <c r="AI27">
        <v>20</v>
      </c>
      <c r="AJ27">
        <v>20</v>
      </c>
      <c r="AK27">
        <v>30</v>
      </c>
      <c r="AL27">
        <v>2</v>
      </c>
      <c r="AM27">
        <v>0</v>
      </c>
      <c r="AN27" t="s">
        <v>83</v>
      </c>
      <c r="AO27">
        <v>1</v>
      </c>
      <c r="AP27">
        <v>15</v>
      </c>
      <c r="AQ27">
        <v>750</v>
      </c>
      <c r="AR27" t="s">
        <v>84</v>
      </c>
      <c r="AS27">
        <v>1</v>
      </c>
      <c r="AT27">
        <v>40</v>
      </c>
      <c r="AU27">
        <v>5</v>
      </c>
      <c r="AV27">
        <v>5</v>
      </c>
      <c r="AW27">
        <v>20</v>
      </c>
      <c r="AX27">
        <v>4</v>
      </c>
      <c r="AY27">
        <v>0</v>
      </c>
      <c r="AZ27" t="s">
        <v>83</v>
      </c>
      <c r="BA27">
        <v>0.2</v>
      </c>
      <c r="BB27">
        <v>8</v>
      </c>
      <c r="BC27">
        <v>0</v>
      </c>
      <c r="BD27">
        <v>750</v>
      </c>
      <c r="BE27" t="b">
        <v>0</v>
      </c>
      <c r="BF27">
        <v>6</v>
      </c>
      <c r="BG27">
        <v>0</v>
      </c>
      <c r="BH27">
        <v>1</v>
      </c>
      <c r="BI27">
        <v>1</v>
      </c>
      <c r="BJ27">
        <v>16</v>
      </c>
      <c r="BK27" t="s">
        <v>73</v>
      </c>
      <c r="BL27">
        <v>200</v>
      </c>
      <c r="BM27">
        <v>1000</v>
      </c>
      <c r="BN27" t="b">
        <v>0</v>
      </c>
      <c r="BO27" t="s">
        <v>85</v>
      </c>
      <c r="BP27">
        <v>2021</v>
      </c>
      <c r="BQ27" t="s">
        <v>86</v>
      </c>
      <c r="BR27" t="s">
        <v>187</v>
      </c>
    </row>
    <row r="28" spans="1:70">
      <c r="A28" t="s">
        <v>188</v>
      </c>
      <c r="B28" t="s">
        <v>71</v>
      </c>
      <c r="C28" t="s">
        <v>189</v>
      </c>
      <c r="D28" t="s">
        <v>73</v>
      </c>
      <c r="E28" t="s">
        <v>74</v>
      </c>
      <c r="F28">
        <v>26</v>
      </c>
      <c r="G28">
        <v>0.255981484946305</v>
      </c>
      <c r="H28">
        <v>0.279180031866791</v>
      </c>
      <c r="I28">
        <v>0.53</v>
      </c>
      <c r="J28">
        <v>0.526491228070175</v>
      </c>
      <c r="K28" t="s">
        <v>75</v>
      </c>
      <c r="L28" t="s">
        <v>190</v>
      </c>
      <c r="M28">
        <v>-9.2625</v>
      </c>
      <c r="N28">
        <v>84.375</v>
      </c>
      <c r="O28">
        <f t="shared" si="0"/>
        <v>54</v>
      </c>
      <c r="P28">
        <v>-9.10175925925926</v>
      </c>
      <c r="Q28">
        <f t="shared" si="1"/>
        <v>-491.495</v>
      </c>
      <c r="R28">
        <v>-10.771</v>
      </c>
      <c r="S28">
        <v>89.0625</v>
      </c>
      <c r="T28" t="s">
        <v>77</v>
      </c>
      <c r="U28" t="s">
        <v>78</v>
      </c>
      <c r="V28">
        <v>0</v>
      </c>
      <c r="W28" t="s">
        <v>79</v>
      </c>
      <c r="X28">
        <v>2</v>
      </c>
      <c r="Y28">
        <v>1</v>
      </c>
      <c r="Z28" t="b">
        <v>1</v>
      </c>
      <c r="AA28" t="s">
        <v>80</v>
      </c>
      <c r="AB28" t="s">
        <v>81</v>
      </c>
      <c r="AC28" t="b">
        <v>0</v>
      </c>
      <c r="AD28" t="s">
        <v>82</v>
      </c>
      <c r="AE28">
        <v>8</v>
      </c>
      <c r="AF28">
        <v>1</v>
      </c>
      <c r="AG28">
        <v>8</v>
      </c>
      <c r="AH28">
        <v>80</v>
      </c>
      <c r="AI28">
        <v>20</v>
      </c>
      <c r="AJ28">
        <v>20</v>
      </c>
      <c r="AK28">
        <v>30</v>
      </c>
      <c r="AL28">
        <v>2</v>
      </c>
      <c r="AM28">
        <v>0</v>
      </c>
      <c r="AN28" t="s">
        <v>83</v>
      </c>
      <c r="AO28">
        <v>1</v>
      </c>
      <c r="AP28">
        <v>15</v>
      </c>
      <c r="AQ28">
        <v>750</v>
      </c>
      <c r="AR28" t="s">
        <v>84</v>
      </c>
      <c r="AS28">
        <v>1</v>
      </c>
      <c r="AT28">
        <v>40</v>
      </c>
      <c r="AU28">
        <v>5</v>
      </c>
      <c r="AV28">
        <v>5</v>
      </c>
      <c r="AW28">
        <v>20</v>
      </c>
      <c r="AX28">
        <v>4</v>
      </c>
      <c r="AY28">
        <v>0</v>
      </c>
      <c r="AZ28" t="s">
        <v>83</v>
      </c>
      <c r="BA28">
        <v>0.2</v>
      </c>
      <c r="BB28">
        <v>8</v>
      </c>
      <c r="BC28">
        <v>0</v>
      </c>
      <c r="BD28">
        <v>750</v>
      </c>
      <c r="BE28" t="b">
        <v>0</v>
      </c>
      <c r="BF28">
        <v>6</v>
      </c>
      <c r="BG28">
        <v>0</v>
      </c>
      <c r="BH28">
        <v>1</v>
      </c>
      <c r="BI28">
        <v>1</v>
      </c>
      <c r="BJ28">
        <v>16</v>
      </c>
      <c r="BK28" t="s">
        <v>73</v>
      </c>
      <c r="BL28">
        <v>200</v>
      </c>
      <c r="BM28">
        <v>1000</v>
      </c>
      <c r="BN28" t="b">
        <v>0</v>
      </c>
      <c r="BO28" t="s">
        <v>85</v>
      </c>
      <c r="BP28">
        <v>2021</v>
      </c>
      <c r="BQ28" t="s">
        <v>86</v>
      </c>
      <c r="BR28" t="s">
        <v>191</v>
      </c>
    </row>
    <row r="29" spans="1:70">
      <c r="A29" t="s">
        <v>192</v>
      </c>
      <c r="B29" t="s">
        <v>71</v>
      </c>
      <c r="C29" t="s">
        <v>193</v>
      </c>
      <c r="D29" t="s">
        <v>73</v>
      </c>
      <c r="E29" t="s">
        <v>74</v>
      </c>
      <c r="F29">
        <v>27</v>
      </c>
      <c r="G29">
        <v>0.407380546608375</v>
      </c>
      <c r="H29">
        <v>0.433993978783359</v>
      </c>
      <c r="I29">
        <v>0.605</v>
      </c>
      <c r="J29">
        <v>0.587666666666667</v>
      </c>
      <c r="K29" t="s">
        <v>75</v>
      </c>
      <c r="L29" t="s">
        <v>194</v>
      </c>
      <c r="M29">
        <v>-9.572</v>
      </c>
      <c r="N29">
        <v>78.125</v>
      </c>
      <c r="O29">
        <f t="shared" si="0"/>
        <v>50</v>
      </c>
      <c r="P29">
        <v>-9.56336</v>
      </c>
      <c r="Q29">
        <f t="shared" si="1"/>
        <v>-478.168</v>
      </c>
      <c r="R29">
        <v>-13.245</v>
      </c>
      <c r="S29">
        <v>93.75</v>
      </c>
      <c r="T29" t="s">
        <v>77</v>
      </c>
      <c r="U29" t="s">
        <v>78</v>
      </c>
      <c r="V29">
        <v>0</v>
      </c>
      <c r="W29" t="s">
        <v>79</v>
      </c>
      <c r="X29">
        <v>2</v>
      </c>
      <c r="Y29">
        <v>1</v>
      </c>
      <c r="Z29" t="b">
        <v>1</v>
      </c>
      <c r="AA29" t="s">
        <v>80</v>
      </c>
      <c r="AB29" t="s">
        <v>81</v>
      </c>
      <c r="AC29" t="b">
        <v>0</v>
      </c>
      <c r="AD29" t="s">
        <v>82</v>
      </c>
      <c r="AE29">
        <v>8</v>
      </c>
      <c r="AF29">
        <v>1</v>
      </c>
      <c r="AG29">
        <v>8</v>
      </c>
      <c r="AH29">
        <v>80</v>
      </c>
      <c r="AI29">
        <v>20</v>
      </c>
      <c r="AJ29">
        <v>20</v>
      </c>
      <c r="AK29">
        <v>30</v>
      </c>
      <c r="AL29">
        <v>2</v>
      </c>
      <c r="AM29">
        <v>0</v>
      </c>
      <c r="AN29" t="s">
        <v>83</v>
      </c>
      <c r="AO29">
        <v>1</v>
      </c>
      <c r="AP29">
        <v>15</v>
      </c>
      <c r="AQ29">
        <v>750</v>
      </c>
      <c r="AR29" t="s">
        <v>84</v>
      </c>
      <c r="AS29">
        <v>1</v>
      </c>
      <c r="AT29">
        <v>40</v>
      </c>
      <c r="AU29">
        <v>5</v>
      </c>
      <c r="AV29">
        <v>5</v>
      </c>
      <c r="AW29">
        <v>20</v>
      </c>
      <c r="AX29">
        <v>4</v>
      </c>
      <c r="AY29">
        <v>0</v>
      </c>
      <c r="AZ29" t="s">
        <v>83</v>
      </c>
      <c r="BA29">
        <v>0.2</v>
      </c>
      <c r="BB29">
        <v>8</v>
      </c>
      <c r="BC29">
        <v>0</v>
      </c>
      <c r="BD29">
        <v>750</v>
      </c>
      <c r="BE29" t="b">
        <v>0</v>
      </c>
      <c r="BF29">
        <v>6</v>
      </c>
      <c r="BG29">
        <v>0</v>
      </c>
      <c r="BH29">
        <v>1</v>
      </c>
      <c r="BI29">
        <v>1</v>
      </c>
      <c r="BJ29">
        <v>16</v>
      </c>
      <c r="BK29" t="s">
        <v>73</v>
      </c>
      <c r="BL29">
        <v>200</v>
      </c>
      <c r="BM29">
        <v>1000</v>
      </c>
      <c r="BN29" t="b">
        <v>0</v>
      </c>
      <c r="BO29" t="s">
        <v>85</v>
      </c>
      <c r="BP29">
        <v>2021</v>
      </c>
      <c r="BQ29" t="s">
        <v>86</v>
      </c>
      <c r="BR29" t="s">
        <v>195</v>
      </c>
    </row>
    <row r="30" spans="1:70">
      <c r="A30" t="s">
        <v>196</v>
      </c>
      <c r="B30" t="s">
        <v>71</v>
      </c>
      <c r="C30" t="s">
        <v>197</v>
      </c>
      <c r="D30" t="s">
        <v>73</v>
      </c>
      <c r="E30" t="s">
        <v>74</v>
      </c>
      <c r="F30">
        <v>28</v>
      </c>
      <c r="G30">
        <v>0.606314275092619</v>
      </c>
      <c r="H30">
        <v>0.595943429706175</v>
      </c>
      <c r="I30">
        <v>0.63</v>
      </c>
      <c r="J30">
        <v>0.638225806451613</v>
      </c>
      <c r="K30" t="s">
        <v>75</v>
      </c>
      <c r="L30" t="s">
        <v>198</v>
      </c>
      <c r="M30">
        <v>-6.424</v>
      </c>
      <c r="N30">
        <v>82.8125</v>
      </c>
      <c r="O30">
        <f t="shared" si="0"/>
        <v>53</v>
      </c>
      <c r="P30">
        <v>-6.40922641509434</v>
      </c>
      <c r="Q30">
        <f t="shared" si="1"/>
        <v>-339.689</v>
      </c>
      <c r="R30">
        <v>-8.05</v>
      </c>
      <c r="S30">
        <v>96.875</v>
      </c>
      <c r="T30" t="s">
        <v>77</v>
      </c>
      <c r="U30" t="s">
        <v>78</v>
      </c>
      <c r="V30">
        <v>0</v>
      </c>
      <c r="W30" t="s">
        <v>79</v>
      </c>
      <c r="X30">
        <v>2</v>
      </c>
      <c r="Y30">
        <v>1</v>
      </c>
      <c r="Z30" t="b">
        <v>1</v>
      </c>
      <c r="AA30" t="s">
        <v>80</v>
      </c>
      <c r="AB30" t="s">
        <v>81</v>
      </c>
      <c r="AC30" t="b">
        <v>0</v>
      </c>
      <c r="AD30" t="s">
        <v>82</v>
      </c>
      <c r="AE30">
        <v>8</v>
      </c>
      <c r="AF30">
        <v>1</v>
      </c>
      <c r="AG30">
        <v>8</v>
      </c>
      <c r="AH30">
        <v>80</v>
      </c>
      <c r="AI30">
        <v>20</v>
      </c>
      <c r="AJ30">
        <v>20</v>
      </c>
      <c r="AK30">
        <v>30</v>
      </c>
      <c r="AL30">
        <v>2</v>
      </c>
      <c r="AM30">
        <v>0</v>
      </c>
      <c r="AN30" t="s">
        <v>83</v>
      </c>
      <c r="AO30">
        <v>1</v>
      </c>
      <c r="AP30">
        <v>15</v>
      </c>
      <c r="AQ30">
        <v>750</v>
      </c>
      <c r="AR30" t="s">
        <v>84</v>
      </c>
      <c r="AS30">
        <v>1</v>
      </c>
      <c r="AT30">
        <v>40</v>
      </c>
      <c r="AU30">
        <v>5</v>
      </c>
      <c r="AV30">
        <v>5</v>
      </c>
      <c r="AW30">
        <v>20</v>
      </c>
      <c r="AX30">
        <v>4</v>
      </c>
      <c r="AY30">
        <v>0</v>
      </c>
      <c r="AZ30" t="s">
        <v>83</v>
      </c>
      <c r="BA30">
        <v>0.2</v>
      </c>
      <c r="BB30">
        <v>8</v>
      </c>
      <c r="BC30">
        <v>0</v>
      </c>
      <c r="BD30">
        <v>750</v>
      </c>
      <c r="BE30" t="b">
        <v>0</v>
      </c>
      <c r="BF30">
        <v>6</v>
      </c>
      <c r="BG30">
        <v>0</v>
      </c>
      <c r="BH30">
        <v>1</v>
      </c>
      <c r="BI30">
        <v>1</v>
      </c>
      <c r="BJ30">
        <v>16</v>
      </c>
      <c r="BK30" t="s">
        <v>73</v>
      </c>
      <c r="BL30">
        <v>200</v>
      </c>
      <c r="BM30">
        <v>1000</v>
      </c>
      <c r="BN30" t="b">
        <v>0</v>
      </c>
      <c r="BO30" t="s">
        <v>85</v>
      </c>
      <c r="BP30">
        <v>2021</v>
      </c>
      <c r="BQ30" t="s">
        <v>86</v>
      </c>
      <c r="BR30" t="s">
        <v>199</v>
      </c>
    </row>
    <row r="31" spans="1:70">
      <c r="A31" t="s">
        <v>200</v>
      </c>
      <c r="B31" t="s">
        <v>71</v>
      </c>
      <c r="C31" t="s">
        <v>201</v>
      </c>
      <c r="D31" t="s">
        <v>73</v>
      </c>
      <c r="E31" t="s">
        <v>74</v>
      </c>
      <c r="F31">
        <v>29</v>
      </c>
      <c r="G31">
        <v>0.398204379409698</v>
      </c>
      <c r="H31">
        <v>0.408853256579492</v>
      </c>
      <c r="I31">
        <v>0.66</v>
      </c>
      <c r="J31">
        <v>0.675555555555556</v>
      </c>
      <c r="K31" t="s">
        <v>75</v>
      </c>
      <c r="L31" t="s">
        <v>202</v>
      </c>
      <c r="M31">
        <v>-6.731</v>
      </c>
      <c r="N31">
        <v>76.5625</v>
      </c>
      <c r="O31">
        <f t="shared" si="0"/>
        <v>49</v>
      </c>
      <c r="P31">
        <v>-6.67287755102041</v>
      </c>
      <c r="Q31">
        <f t="shared" si="1"/>
        <v>-326.971</v>
      </c>
      <c r="R31">
        <v>-8.762</v>
      </c>
      <c r="S31">
        <v>98.4375</v>
      </c>
      <c r="T31" t="s">
        <v>77</v>
      </c>
      <c r="U31" t="s">
        <v>78</v>
      </c>
      <c r="V31">
        <v>0</v>
      </c>
      <c r="W31" t="s">
        <v>79</v>
      </c>
      <c r="X31">
        <v>2</v>
      </c>
      <c r="Y31">
        <v>1</v>
      </c>
      <c r="Z31" t="b">
        <v>1</v>
      </c>
      <c r="AA31" t="s">
        <v>80</v>
      </c>
      <c r="AB31" t="s">
        <v>81</v>
      </c>
      <c r="AC31" t="b">
        <v>0</v>
      </c>
      <c r="AD31" t="s">
        <v>82</v>
      </c>
      <c r="AE31">
        <v>8</v>
      </c>
      <c r="AF31">
        <v>1</v>
      </c>
      <c r="AG31">
        <v>8</v>
      </c>
      <c r="AH31">
        <v>80</v>
      </c>
      <c r="AI31">
        <v>20</v>
      </c>
      <c r="AJ31">
        <v>20</v>
      </c>
      <c r="AK31">
        <v>30</v>
      </c>
      <c r="AL31">
        <v>2</v>
      </c>
      <c r="AM31">
        <v>0</v>
      </c>
      <c r="AN31" t="s">
        <v>83</v>
      </c>
      <c r="AO31">
        <v>1</v>
      </c>
      <c r="AP31">
        <v>15</v>
      </c>
      <c r="AQ31">
        <v>750</v>
      </c>
      <c r="AR31" t="s">
        <v>84</v>
      </c>
      <c r="AS31">
        <v>1</v>
      </c>
      <c r="AT31">
        <v>40</v>
      </c>
      <c r="AU31">
        <v>5</v>
      </c>
      <c r="AV31">
        <v>5</v>
      </c>
      <c r="AW31">
        <v>20</v>
      </c>
      <c r="AX31">
        <v>4</v>
      </c>
      <c r="AY31">
        <v>0</v>
      </c>
      <c r="AZ31" t="s">
        <v>83</v>
      </c>
      <c r="BA31">
        <v>0.2</v>
      </c>
      <c r="BB31">
        <v>8</v>
      </c>
      <c r="BC31">
        <v>0</v>
      </c>
      <c r="BD31">
        <v>750</v>
      </c>
      <c r="BE31" t="b">
        <v>0</v>
      </c>
      <c r="BF31">
        <v>6</v>
      </c>
      <c r="BG31">
        <v>0</v>
      </c>
      <c r="BH31">
        <v>1</v>
      </c>
      <c r="BI31">
        <v>1</v>
      </c>
      <c r="BJ31">
        <v>16</v>
      </c>
      <c r="BK31" t="s">
        <v>73</v>
      </c>
      <c r="BL31">
        <v>200</v>
      </c>
      <c r="BM31">
        <v>1000</v>
      </c>
      <c r="BN31" t="b">
        <v>0</v>
      </c>
      <c r="BO31" t="s">
        <v>85</v>
      </c>
      <c r="BP31">
        <v>2021</v>
      </c>
      <c r="BQ31" t="s">
        <v>86</v>
      </c>
      <c r="BR31" t="s">
        <v>203</v>
      </c>
    </row>
    <row r="32" spans="1:70">
      <c r="A32" t="s">
        <v>204</v>
      </c>
      <c r="B32" t="s">
        <v>71</v>
      </c>
      <c r="C32" t="s">
        <v>205</v>
      </c>
      <c r="D32" t="s">
        <v>73</v>
      </c>
      <c r="E32" t="s">
        <v>74</v>
      </c>
      <c r="F32">
        <v>30</v>
      </c>
      <c r="G32">
        <v>0.517783940853612</v>
      </c>
      <c r="H32">
        <v>0.509350005443714</v>
      </c>
      <c r="I32">
        <v>0.655</v>
      </c>
      <c r="J32">
        <v>0.646612903225807</v>
      </c>
      <c r="K32" t="s">
        <v>75</v>
      </c>
      <c r="L32" t="s">
        <v>206</v>
      </c>
      <c r="M32">
        <v>-6.418</v>
      </c>
      <c r="N32">
        <v>96.875</v>
      </c>
      <c r="O32">
        <f t="shared" si="0"/>
        <v>62</v>
      </c>
      <c r="P32">
        <v>-6.68772580645161</v>
      </c>
      <c r="Q32">
        <f t="shared" si="1"/>
        <v>-414.639</v>
      </c>
      <c r="R32">
        <v>-11.187</v>
      </c>
      <c r="S32">
        <v>96.875</v>
      </c>
      <c r="T32" t="s">
        <v>77</v>
      </c>
      <c r="U32" t="s">
        <v>78</v>
      </c>
      <c r="V32">
        <v>0</v>
      </c>
      <c r="W32" t="s">
        <v>79</v>
      </c>
      <c r="X32">
        <v>2</v>
      </c>
      <c r="Y32">
        <v>1</v>
      </c>
      <c r="Z32" t="b">
        <v>1</v>
      </c>
      <c r="AA32" t="s">
        <v>80</v>
      </c>
      <c r="AB32" t="s">
        <v>81</v>
      </c>
      <c r="AC32" t="b">
        <v>0</v>
      </c>
      <c r="AD32" t="s">
        <v>82</v>
      </c>
      <c r="AE32">
        <v>8</v>
      </c>
      <c r="AF32">
        <v>1</v>
      </c>
      <c r="AG32">
        <v>8</v>
      </c>
      <c r="AH32">
        <v>80</v>
      </c>
      <c r="AI32">
        <v>20</v>
      </c>
      <c r="AJ32">
        <v>20</v>
      </c>
      <c r="AK32">
        <v>30</v>
      </c>
      <c r="AL32">
        <v>2</v>
      </c>
      <c r="AM32">
        <v>0</v>
      </c>
      <c r="AN32" t="s">
        <v>83</v>
      </c>
      <c r="AO32">
        <v>1</v>
      </c>
      <c r="AP32">
        <v>15</v>
      </c>
      <c r="AQ32">
        <v>750</v>
      </c>
      <c r="AR32" t="s">
        <v>84</v>
      </c>
      <c r="AS32">
        <v>1</v>
      </c>
      <c r="AT32">
        <v>40</v>
      </c>
      <c r="AU32">
        <v>5</v>
      </c>
      <c r="AV32">
        <v>5</v>
      </c>
      <c r="AW32">
        <v>20</v>
      </c>
      <c r="AX32">
        <v>4</v>
      </c>
      <c r="AY32">
        <v>0</v>
      </c>
      <c r="AZ32" t="s">
        <v>83</v>
      </c>
      <c r="BA32">
        <v>0.2</v>
      </c>
      <c r="BB32">
        <v>8</v>
      </c>
      <c r="BC32">
        <v>0</v>
      </c>
      <c r="BD32">
        <v>750</v>
      </c>
      <c r="BE32" t="b">
        <v>0</v>
      </c>
      <c r="BF32">
        <v>6</v>
      </c>
      <c r="BG32">
        <v>0</v>
      </c>
      <c r="BH32">
        <v>1</v>
      </c>
      <c r="BI32">
        <v>1</v>
      </c>
      <c r="BJ32">
        <v>16</v>
      </c>
      <c r="BK32" t="s">
        <v>73</v>
      </c>
      <c r="BL32">
        <v>200</v>
      </c>
      <c r="BM32">
        <v>1000</v>
      </c>
      <c r="BN32" t="b">
        <v>0</v>
      </c>
      <c r="BO32" t="s">
        <v>85</v>
      </c>
      <c r="BP32">
        <v>2021</v>
      </c>
      <c r="BQ32" t="s">
        <v>86</v>
      </c>
      <c r="BR32" t="s">
        <v>207</v>
      </c>
    </row>
    <row r="33" spans="1:70">
      <c r="A33" t="s">
        <v>208</v>
      </c>
      <c r="B33" t="s">
        <v>71</v>
      </c>
      <c r="C33" t="s">
        <v>209</v>
      </c>
      <c r="D33" t="s">
        <v>73</v>
      </c>
      <c r="E33" t="s">
        <v>74</v>
      </c>
      <c r="F33">
        <v>31</v>
      </c>
      <c r="G33">
        <v>0.252021148425467</v>
      </c>
      <c r="H33">
        <v>0.307966951375848</v>
      </c>
      <c r="I33">
        <v>0.52</v>
      </c>
      <c r="J33">
        <v>0.535737704918033</v>
      </c>
      <c r="K33" t="s">
        <v>75</v>
      </c>
      <c r="L33" t="s">
        <v>210</v>
      </c>
      <c r="M33">
        <v>-11.229</v>
      </c>
      <c r="N33">
        <v>73.4375</v>
      </c>
      <c r="O33">
        <f t="shared" si="0"/>
        <v>47</v>
      </c>
      <c r="P33">
        <v>-11.8468723404255</v>
      </c>
      <c r="Q33">
        <f t="shared" si="1"/>
        <v>-556.803</v>
      </c>
      <c r="R33">
        <v>-16.008</v>
      </c>
      <c r="S33">
        <v>95.3125</v>
      </c>
      <c r="T33" t="s">
        <v>77</v>
      </c>
      <c r="U33" t="s">
        <v>78</v>
      </c>
      <c r="V33">
        <v>0</v>
      </c>
      <c r="W33" t="s">
        <v>79</v>
      </c>
      <c r="X33">
        <v>2</v>
      </c>
      <c r="Y33">
        <v>1</v>
      </c>
      <c r="Z33" t="b">
        <v>1</v>
      </c>
      <c r="AA33" t="s">
        <v>80</v>
      </c>
      <c r="AB33" t="s">
        <v>81</v>
      </c>
      <c r="AC33" t="b">
        <v>0</v>
      </c>
      <c r="AD33" t="s">
        <v>82</v>
      </c>
      <c r="AE33">
        <v>8</v>
      </c>
      <c r="AF33">
        <v>1</v>
      </c>
      <c r="AG33">
        <v>8</v>
      </c>
      <c r="AH33">
        <v>80</v>
      </c>
      <c r="AI33">
        <v>20</v>
      </c>
      <c r="AJ33">
        <v>20</v>
      </c>
      <c r="AK33">
        <v>30</v>
      </c>
      <c r="AL33">
        <v>2</v>
      </c>
      <c r="AM33">
        <v>0</v>
      </c>
      <c r="AN33" t="s">
        <v>83</v>
      </c>
      <c r="AO33">
        <v>1</v>
      </c>
      <c r="AP33">
        <v>15</v>
      </c>
      <c r="AQ33">
        <v>750</v>
      </c>
      <c r="AR33" t="s">
        <v>84</v>
      </c>
      <c r="AS33">
        <v>1</v>
      </c>
      <c r="AT33">
        <v>40</v>
      </c>
      <c r="AU33">
        <v>5</v>
      </c>
      <c r="AV33">
        <v>5</v>
      </c>
      <c r="AW33">
        <v>20</v>
      </c>
      <c r="AX33">
        <v>4</v>
      </c>
      <c r="AY33">
        <v>0</v>
      </c>
      <c r="AZ33" t="s">
        <v>83</v>
      </c>
      <c r="BA33">
        <v>0.2</v>
      </c>
      <c r="BB33">
        <v>8</v>
      </c>
      <c r="BC33">
        <v>0</v>
      </c>
      <c r="BD33">
        <v>750</v>
      </c>
      <c r="BE33" t="b">
        <v>0</v>
      </c>
      <c r="BF33">
        <v>6</v>
      </c>
      <c r="BG33">
        <v>0</v>
      </c>
      <c r="BH33">
        <v>1</v>
      </c>
      <c r="BI33">
        <v>1</v>
      </c>
      <c r="BJ33">
        <v>16</v>
      </c>
      <c r="BK33" t="s">
        <v>73</v>
      </c>
      <c r="BL33">
        <v>200</v>
      </c>
      <c r="BM33">
        <v>1000</v>
      </c>
      <c r="BN33" t="b">
        <v>0</v>
      </c>
      <c r="BO33" t="s">
        <v>85</v>
      </c>
      <c r="BP33">
        <v>2021</v>
      </c>
      <c r="BQ33" t="s">
        <v>86</v>
      </c>
      <c r="BR33" t="s">
        <v>211</v>
      </c>
    </row>
    <row r="34" spans="1:70">
      <c r="A34" t="s">
        <v>212</v>
      </c>
      <c r="B34" t="s">
        <v>71</v>
      </c>
      <c r="C34" t="s">
        <v>213</v>
      </c>
      <c r="D34" t="s">
        <v>73</v>
      </c>
      <c r="E34" t="s">
        <v>74</v>
      </c>
      <c r="F34">
        <v>32</v>
      </c>
      <c r="G34">
        <v>0.474065868761102</v>
      </c>
      <c r="H34">
        <v>0.473998255941525</v>
      </c>
      <c r="I34">
        <v>0.57</v>
      </c>
      <c r="J34">
        <v>0.583709677419355</v>
      </c>
      <c r="K34" t="s">
        <v>75</v>
      </c>
      <c r="L34" t="s">
        <v>214</v>
      </c>
      <c r="M34">
        <v>-8.826</v>
      </c>
      <c r="N34">
        <v>92.1875</v>
      </c>
      <c r="O34">
        <f t="shared" si="0"/>
        <v>59</v>
      </c>
      <c r="P34">
        <v>-8.67157627118644</v>
      </c>
      <c r="Q34">
        <f t="shared" si="1"/>
        <v>-511.623</v>
      </c>
      <c r="R34">
        <v>-10.581</v>
      </c>
      <c r="S34">
        <v>96.875</v>
      </c>
      <c r="T34" t="s">
        <v>77</v>
      </c>
      <c r="U34" t="s">
        <v>78</v>
      </c>
      <c r="V34">
        <v>0</v>
      </c>
      <c r="W34" t="s">
        <v>79</v>
      </c>
      <c r="X34">
        <v>2</v>
      </c>
      <c r="Y34">
        <v>1</v>
      </c>
      <c r="Z34" t="b">
        <v>1</v>
      </c>
      <c r="AA34" t="s">
        <v>80</v>
      </c>
      <c r="AB34" t="s">
        <v>81</v>
      </c>
      <c r="AC34" t="b">
        <v>0</v>
      </c>
      <c r="AD34" t="s">
        <v>82</v>
      </c>
      <c r="AE34">
        <v>8</v>
      </c>
      <c r="AF34">
        <v>1</v>
      </c>
      <c r="AG34">
        <v>8</v>
      </c>
      <c r="AH34">
        <v>80</v>
      </c>
      <c r="AI34">
        <v>20</v>
      </c>
      <c r="AJ34">
        <v>20</v>
      </c>
      <c r="AK34">
        <v>30</v>
      </c>
      <c r="AL34">
        <v>2</v>
      </c>
      <c r="AM34">
        <v>0</v>
      </c>
      <c r="AN34" t="s">
        <v>83</v>
      </c>
      <c r="AO34">
        <v>1</v>
      </c>
      <c r="AP34">
        <v>15</v>
      </c>
      <c r="AQ34">
        <v>750</v>
      </c>
      <c r="AR34" t="s">
        <v>84</v>
      </c>
      <c r="AS34">
        <v>1</v>
      </c>
      <c r="AT34">
        <v>40</v>
      </c>
      <c r="AU34">
        <v>5</v>
      </c>
      <c r="AV34">
        <v>5</v>
      </c>
      <c r="AW34">
        <v>20</v>
      </c>
      <c r="AX34">
        <v>4</v>
      </c>
      <c r="AY34">
        <v>0</v>
      </c>
      <c r="AZ34" t="s">
        <v>83</v>
      </c>
      <c r="BA34">
        <v>0.2</v>
      </c>
      <c r="BB34">
        <v>8</v>
      </c>
      <c r="BC34">
        <v>0</v>
      </c>
      <c r="BD34">
        <v>750</v>
      </c>
      <c r="BE34" t="b">
        <v>0</v>
      </c>
      <c r="BF34">
        <v>6</v>
      </c>
      <c r="BG34">
        <v>0</v>
      </c>
      <c r="BH34">
        <v>1</v>
      </c>
      <c r="BI34">
        <v>1</v>
      </c>
      <c r="BJ34">
        <v>16</v>
      </c>
      <c r="BK34" t="s">
        <v>73</v>
      </c>
      <c r="BL34">
        <v>200</v>
      </c>
      <c r="BM34">
        <v>1000</v>
      </c>
      <c r="BN34" t="b">
        <v>0</v>
      </c>
      <c r="BO34" t="s">
        <v>85</v>
      </c>
      <c r="BP34">
        <v>2021</v>
      </c>
      <c r="BQ34" t="s">
        <v>86</v>
      </c>
      <c r="BR34" t="s">
        <v>215</v>
      </c>
    </row>
    <row r="35" spans="1:70">
      <c r="A35" t="s">
        <v>216</v>
      </c>
      <c r="B35" t="s">
        <v>71</v>
      </c>
      <c r="C35" t="s">
        <v>217</v>
      </c>
      <c r="D35" t="s">
        <v>73</v>
      </c>
      <c r="E35" t="s">
        <v>74</v>
      </c>
      <c r="F35">
        <v>33</v>
      </c>
      <c r="G35">
        <v>0.441595301533568</v>
      </c>
      <c r="H35">
        <v>0.451377144746469</v>
      </c>
      <c r="I35">
        <v>0.635</v>
      </c>
      <c r="J35">
        <v>0.62765625</v>
      </c>
      <c r="K35" t="s">
        <v>75</v>
      </c>
      <c r="L35" t="s">
        <v>218</v>
      </c>
      <c r="M35">
        <v>-7.86</v>
      </c>
      <c r="N35">
        <v>100</v>
      </c>
      <c r="O35">
        <f t="shared" ref="O35:O66" si="2">PRODUCT(N35,64)*0.01</f>
        <v>64</v>
      </c>
      <c r="P35">
        <v>-8.02196875</v>
      </c>
      <c r="Q35">
        <f t="shared" ref="Q35:Q66" si="3">PRODUCT(O35,P35)</f>
        <v>-513.406</v>
      </c>
      <c r="R35">
        <v>-13.038</v>
      </c>
      <c r="S35">
        <v>100</v>
      </c>
      <c r="T35" t="s">
        <v>77</v>
      </c>
      <c r="U35" t="s">
        <v>78</v>
      </c>
      <c r="V35">
        <v>0</v>
      </c>
      <c r="W35" t="s">
        <v>79</v>
      </c>
      <c r="X35">
        <v>2</v>
      </c>
      <c r="Y35">
        <v>1</v>
      </c>
      <c r="Z35" t="b">
        <v>1</v>
      </c>
      <c r="AA35" t="s">
        <v>80</v>
      </c>
      <c r="AB35" t="s">
        <v>81</v>
      </c>
      <c r="AC35" t="b">
        <v>0</v>
      </c>
      <c r="AD35" t="s">
        <v>82</v>
      </c>
      <c r="AE35">
        <v>8</v>
      </c>
      <c r="AF35">
        <v>1</v>
      </c>
      <c r="AG35">
        <v>8</v>
      </c>
      <c r="AH35">
        <v>80</v>
      </c>
      <c r="AI35">
        <v>20</v>
      </c>
      <c r="AJ35">
        <v>20</v>
      </c>
      <c r="AK35">
        <v>30</v>
      </c>
      <c r="AL35">
        <v>2</v>
      </c>
      <c r="AM35">
        <v>0</v>
      </c>
      <c r="AN35" t="s">
        <v>83</v>
      </c>
      <c r="AO35">
        <v>1</v>
      </c>
      <c r="AP35">
        <v>15</v>
      </c>
      <c r="AQ35">
        <v>750</v>
      </c>
      <c r="AR35" t="s">
        <v>84</v>
      </c>
      <c r="AS35">
        <v>1</v>
      </c>
      <c r="AT35">
        <v>40</v>
      </c>
      <c r="AU35">
        <v>5</v>
      </c>
      <c r="AV35">
        <v>5</v>
      </c>
      <c r="AW35">
        <v>20</v>
      </c>
      <c r="AX35">
        <v>4</v>
      </c>
      <c r="AY35">
        <v>0</v>
      </c>
      <c r="AZ35" t="s">
        <v>83</v>
      </c>
      <c r="BA35">
        <v>0.2</v>
      </c>
      <c r="BB35">
        <v>8</v>
      </c>
      <c r="BC35">
        <v>0</v>
      </c>
      <c r="BD35">
        <v>750</v>
      </c>
      <c r="BE35" t="b">
        <v>0</v>
      </c>
      <c r="BF35">
        <v>6</v>
      </c>
      <c r="BG35">
        <v>0</v>
      </c>
      <c r="BH35">
        <v>1</v>
      </c>
      <c r="BI35">
        <v>1</v>
      </c>
      <c r="BJ35">
        <v>16</v>
      </c>
      <c r="BK35" t="s">
        <v>73</v>
      </c>
      <c r="BL35">
        <v>200</v>
      </c>
      <c r="BM35">
        <v>1000</v>
      </c>
      <c r="BN35" t="b">
        <v>0</v>
      </c>
      <c r="BO35" t="s">
        <v>85</v>
      </c>
      <c r="BP35">
        <v>2021</v>
      </c>
      <c r="BQ35" t="s">
        <v>86</v>
      </c>
      <c r="BR35" t="s">
        <v>219</v>
      </c>
    </row>
    <row r="36" spans="1:70">
      <c r="A36" t="s">
        <v>220</v>
      </c>
      <c r="B36" t="s">
        <v>71</v>
      </c>
      <c r="C36" t="s">
        <v>221</v>
      </c>
      <c r="D36" t="s">
        <v>73</v>
      </c>
      <c r="E36" t="s">
        <v>74</v>
      </c>
      <c r="F36">
        <v>34</v>
      </c>
      <c r="G36">
        <v>0.512291644202918</v>
      </c>
      <c r="H36">
        <v>0.477542076506127</v>
      </c>
      <c r="I36">
        <v>0.775</v>
      </c>
      <c r="J36">
        <v>0.719375</v>
      </c>
      <c r="K36" t="s">
        <v>75</v>
      </c>
      <c r="L36" t="s">
        <v>222</v>
      </c>
      <c r="M36">
        <v>-5.581</v>
      </c>
      <c r="N36">
        <v>92.1875</v>
      </c>
      <c r="O36">
        <f t="shared" si="2"/>
        <v>59</v>
      </c>
      <c r="P36">
        <v>-6.23337288135593</v>
      </c>
      <c r="Q36">
        <f t="shared" si="3"/>
        <v>-367.769</v>
      </c>
      <c r="R36">
        <v>-11.062</v>
      </c>
      <c r="S36">
        <v>100</v>
      </c>
      <c r="T36" t="s">
        <v>77</v>
      </c>
      <c r="U36" t="s">
        <v>78</v>
      </c>
      <c r="V36">
        <v>0</v>
      </c>
      <c r="W36" t="s">
        <v>79</v>
      </c>
      <c r="X36">
        <v>2</v>
      </c>
      <c r="Y36">
        <v>1</v>
      </c>
      <c r="Z36" t="b">
        <v>1</v>
      </c>
      <c r="AA36" t="s">
        <v>80</v>
      </c>
      <c r="AB36" t="s">
        <v>81</v>
      </c>
      <c r="AC36" t="b">
        <v>0</v>
      </c>
      <c r="AD36" t="s">
        <v>82</v>
      </c>
      <c r="AE36">
        <v>8</v>
      </c>
      <c r="AF36">
        <v>1</v>
      </c>
      <c r="AG36">
        <v>8</v>
      </c>
      <c r="AH36">
        <v>80</v>
      </c>
      <c r="AI36">
        <v>20</v>
      </c>
      <c r="AJ36">
        <v>20</v>
      </c>
      <c r="AK36">
        <v>30</v>
      </c>
      <c r="AL36">
        <v>2</v>
      </c>
      <c r="AM36">
        <v>0</v>
      </c>
      <c r="AN36" t="s">
        <v>83</v>
      </c>
      <c r="AO36">
        <v>1</v>
      </c>
      <c r="AP36">
        <v>15</v>
      </c>
      <c r="AQ36">
        <v>750</v>
      </c>
      <c r="AR36" t="s">
        <v>84</v>
      </c>
      <c r="AS36">
        <v>1</v>
      </c>
      <c r="AT36">
        <v>40</v>
      </c>
      <c r="AU36">
        <v>5</v>
      </c>
      <c r="AV36">
        <v>5</v>
      </c>
      <c r="AW36">
        <v>20</v>
      </c>
      <c r="AX36">
        <v>4</v>
      </c>
      <c r="AY36">
        <v>0</v>
      </c>
      <c r="AZ36" t="s">
        <v>83</v>
      </c>
      <c r="BA36">
        <v>0.2</v>
      </c>
      <c r="BB36">
        <v>8</v>
      </c>
      <c r="BC36">
        <v>0</v>
      </c>
      <c r="BD36">
        <v>750</v>
      </c>
      <c r="BE36" t="b">
        <v>0</v>
      </c>
      <c r="BF36">
        <v>6</v>
      </c>
      <c r="BG36">
        <v>0</v>
      </c>
      <c r="BH36">
        <v>1</v>
      </c>
      <c r="BI36">
        <v>1</v>
      </c>
      <c r="BJ36">
        <v>16</v>
      </c>
      <c r="BK36" t="s">
        <v>73</v>
      </c>
      <c r="BL36">
        <v>200</v>
      </c>
      <c r="BM36">
        <v>1000</v>
      </c>
      <c r="BN36" t="b">
        <v>0</v>
      </c>
      <c r="BO36" t="s">
        <v>85</v>
      </c>
      <c r="BP36">
        <v>2021</v>
      </c>
      <c r="BQ36" t="s">
        <v>86</v>
      </c>
      <c r="BR36" t="s">
        <v>223</v>
      </c>
    </row>
    <row r="37" spans="1:70">
      <c r="A37" t="s">
        <v>224</v>
      </c>
      <c r="B37" t="s">
        <v>71</v>
      </c>
      <c r="C37" t="s">
        <v>225</v>
      </c>
      <c r="D37" t="s">
        <v>73</v>
      </c>
      <c r="E37" t="s">
        <v>74</v>
      </c>
      <c r="F37">
        <v>36</v>
      </c>
      <c r="G37">
        <v>0.289921047980709</v>
      </c>
      <c r="H37">
        <v>0.297537402724921</v>
      </c>
      <c r="I37">
        <v>0.55</v>
      </c>
      <c r="J37">
        <v>0.541269841269841</v>
      </c>
      <c r="K37" t="s">
        <v>75</v>
      </c>
      <c r="L37" t="s">
        <v>226</v>
      </c>
      <c r="M37">
        <v>-9.36</v>
      </c>
      <c r="N37">
        <v>89.0625</v>
      </c>
      <c r="O37">
        <f t="shared" si="2"/>
        <v>57</v>
      </c>
      <c r="P37">
        <v>-9.42715789473684</v>
      </c>
      <c r="Q37">
        <f t="shared" si="3"/>
        <v>-537.348</v>
      </c>
      <c r="R37">
        <v>-12.948</v>
      </c>
      <c r="S37">
        <v>98.4375</v>
      </c>
      <c r="T37" t="s">
        <v>77</v>
      </c>
      <c r="U37" t="s">
        <v>78</v>
      </c>
      <c r="V37">
        <v>0</v>
      </c>
      <c r="W37" t="s">
        <v>79</v>
      </c>
      <c r="X37">
        <v>2</v>
      </c>
      <c r="Y37">
        <v>1</v>
      </c>
      <c r="Z37" t="b">
        <v>1</v>
      </c>
      <c r="AA37" t="s">
        <v>80</v>
      </c>
      <c r="AB37" t="s">
        <v>81</v>
      </c>
      <c r="AC37" t="b">
        <v>0</v>
      </c>
      <c r="AD37" t="s">
        <v>82</v>
      </c>
      <c r="AE37">
        <v>8</v>
      </c>
      <c r="AF37">
        <v>1</v>
      </c>
      <c r="AG37">
        <v>8</v>
      </c>
      <c r="AH37">
        <v>80</v>
      </c>
      <c r="AI37">
        <v>20</v>
      </c>
      <c r="AJ37">
        <v>20</v>
      </c>
      <c r="AK37">
        <v>30</v>
      </c>
      <c r="AL37">
        <v>2</v>
      </c>
      <c r="AM37">
        <v>0</v>
      </c>
      <c r="AN37" t="s">
        <v>83</v>
      </c>
      <c r="AO37">
        <v>1</v>
      </c>
      <c r="AP37">
        <v>15</v>
      </c>
      <c r="AQ37">
        <v>750</v>
      </c>
      <c r="AR37" t="s">
        <v>84</v>
      </c>
      <c r="AS37">
        <v>1</v>
      </c>
      <c r="AT37">
        <v>40</v>
      </c>
      <c r="AU37">
        <v>5</v>
      </c>
      <c r="AV37">
        <v>5</v>
      </c>
      <c r="AW37">
        <v>20</v>
      </c>
      <c r="AX37">
        <v>4</v>
      </c>
      <c r="AY37">
        <v>0</v>
      </c>
      <c r="AZ37" t="s">
        <v>83</v>
      </c>
      <c r="BA37">
        <v>0.2</v>
      </c>
      <c r="BB37">
        <v>8</v>
      </c>
      <c r="BC37">
        <v>0</v>
      </c>
      <c r="BD37">
        <v>750</v>
      </c>
      <c r="BE37" t="b">
        <v>0</v>
      </c>
      <c r="BF37">
        <v>6</v>
      </c>
      <c r="BG37">
        <v>0</v>
      </c>
      <c r="BH37">
        <v>1</v>
      </c>
      <c r="BI37">
        <v>1</v>
      </c>
      <c r="BJ37">
        <v>16</v>
      </c>
      <c r="BK37" t="s">
        <v>73</v>
      </c>
      <c r="BL37">
        <v>200</v>
      </c>
      <c r="BM37">
        <v>1000</v>
      </c>
      <c r="BN37" t="b">
        <v>0</v>
      </c>
      <c r="BO37" t="s">
        <v>85</v>
      </c>
      <c r="BP37">
        <v>2021</v>
      </c>
      <c r="BQ37" t="s">
        <v>86</v>
      </c>
      <c r="BR37" t="s">
        <v>227</v>
      </c>
    </row>
    <row r="38" spans="1:70">
      <c r="A38" t="s">
        <v>228</v>
      </c>
      <c r="B38" t="s">
        <v>71</v>
      </c>
      <c r="C38" t="s">
        <v>229</v>
      </c>
      <c r="D38" t="s">
        <v>73</v>
      </c>
      <c r="E38" t="s">
        <v>74</v>
      </c>
      <c r="F38">
        <v>37</v>
      </c>
      <c r="G38">
        <v>0.48771066775824</v>
      </c>
      <c r="H38">
        <v>0.477293216753635</v>
      </c>
      <c r="I38">
        <v>0.59</v>
      </c>
      <c r="J38">
        <v>0.579047619047619</v>
      </c>
      <c r="K38" t="s">
        <v>75</v>
      </c>
      <c r="L38" t="s">
        <v>230</v>
      </c>
      <c r="M38">
        <v>-8.1945</v>
      </c>
      <c r="N38">
        <v>81.25</v>
      </c>
      <c r="O38">
        <f t="shared" si="2"/>
        <v>52</v>
      </c>
      <c r="P38">
        <v>-8.12409615384616</v>
      </c>
      <c r="Q38">
        <f t="shared" si="3"/>
        <v>-422.453</v>
      </c>
      <c r="R38">
        <v>-11.024</v>
      </c>
      <c r="S38">
        <v>98.4375</v>
      </c>
      <c r="T38" t="s">
        <v>77</v>
      </c>
      <c r="U38" t="s">
        <v>78</v>
      </c>
      <c r="V38">
        <v>0</v>
      </c>
      <c r="W38" t="s">
        <v>79</v>
      </c>
      <c r="X38">
        <v>2</v>
      </c>
      <c r="Y38">
        <v>1</v>
      </c>
      <c r="Z38" t="b">
        <v>1</v>
      </c>
      <c r="AA38" t="s">
        <v>80</v>
      </c>
      <c r="AB38" t="s">
        <v>81</v>
      </c>
      <c r="AC38" t="b">
        <v>0</v>
      </c>
      <c r="AD38" t="s">
        <v>82</v>
      </c>
      <c r="AE38">
        <v>8</v>
      </c>
      <c r="AF38">
        <v>1</v>
      </c>
      <c r="AG38">
        <v>8</v>
      </c>
      <c r="AH38">
        <v>80</v>
      </c>
      <c r="AI38">
        <v>20</v>
      </c>
      <c r="AJ38">
        <v>20</v>
      </c>
      <c r="AK38">
        <v>30</v>
      </c>
      <c r="AL38">
        <v>2</v>
      </c>
      <c r="AM38">
        <v>0</v>
      </c>
      <c r="AN38" t="s">
        <v>83</v>
      </c>
      <c r="AO38">
        <v>1</v>
      </c>
      <c r="AP38">
        <v>15</v>
      </c>
      <c r="AQ38">
        <v>750</v>
      </c>
      <c r="AR38" t="s">
        <v>84</v>
      </c>
      <c r="AS38">
        <v>1</v>
      </c>
      <c r="AT38">
        <v>40</v>
      </c>
      <c r="AU38">
        <v>5</v>
      </c>
      <c r="AV38">
        <v>5</v>
      </c>
      <c r="AW38">
        <v>20</v>
      </c>
      <c r="AX38">
        <v>4</v>
      </c>
      <c r="AY38">
        <v>0</v>
      </c>
      <c r="AZ38" t="s">
        <v>83</v>
      </c>
      <c r="BA38">
        <v>0.2</v>
      </c>
      <c r="BB38">
        <v>8</v>
      </c>
      <c r="BC38">
        <v>0</v>
      </c>
      <c r="BD38">
        <v>750</v>
      </c>
      <c r="BE38" t="b">
        <v>0</v>
      </c>
      <c r="BF38">
        <v>6</v>
      </c>
      <c r="BG38">
        <v>0</v>
      </c>
      <c r="BH38">
        <v>1</v>
      </c>
      <c r="BI38">
        <v>1</v>
      </c>
      <c r="BJ38">
        <v>16</v>
      </c>
      <c r="BK38" t="s">
        <v>73</v>
      </c>
      <c r="BL38">
        <v>200</v>
      </c>
      <c r="BM38">
        <v>1000</v>
      </c>
      <c r="BN38" t="b">
        <v>0</v>
      </c>
      <c r="BO38" t="s">
        <v>85</v>
      </c>
      <c r="BP38">
        <v>2021</v>
      </c>
      <c r="BQ38" t="s">
        <v>86</v>
      </c>
      <c r="BR38" t="s">
        <v>231</v>
      </c>
    </row>
    <row r="39" spans="1:70">
      <c r="A39" t="s">
        <v>232</v>
      </c>
      <c r="B39" t="s">
        <v>71</v>
      </c>
      <c r="C39" t="s">
        <v>233</v>
      </c>
      <c r="D39" t="s">
        <v>73</v>
      </c>
      <c r="E39" t="s">
        <v>74</v>
      </c>
      <c r="F39">
        <v>38</v>
      </c>
      <c r="G39">
        <v>0.430978111380336</v>
      </c>
      <c r="H39">
        <v>0.421254681415813</v>
      </c>
      <c r="I39">
        <v>0.695</v>
      </c>
      <c r="J39">
        <v>0.67875</v>
      </c>
      <c r="K39" t="s">
        <v>75</v>
      </c>
      <c r="L39" t="s">
        <v>234</v>
      </c>
      <c r="M39">
        <v>-3.6905</v>
      </c>
      <c r="N39">
        <v>100</v>
      </c>
      <c r="O39">
        <f t="shared" si="2"/>
        <v>64</v>
      </c>
      <c r="P39">
        <v>-4.000796875</v>
      </c>
      <c r="Q39">
        <f t="shared" si="3"/>
        <v>-256.051</v>
      </c>
      <c r="R39">
        <v>-6.615</v>
      </c>
      <c r="S39">
        <v>100</v>
      </c>
      <c r="T39" t="s">
        <v>77</v>
      </c>
      <c r="U39" t="s">
        <v>78</v>
      </c>
      <c r="V39">
        <v>0</v>
      </c>
      <c r="W39" t="s">
        <v>79</v>
      </c>
      <c r="X39">
        <v>2</v>
      </c>
      <c r="Y39">
        <v>1</v>
      </c>
      <c r="Z39" t="b">
        <v>1</v>
      </c>
      <c r="AA39" t="s">
        <v>80</v>
      </c>
      <c r="AB39" t="s">
        <v>81</v>
      </c>
      <c r="AC39" t="b">
        <v>0</v>
      </c>
      <c r="AD39" t="s">
        <v>82</v>
      </c>
      <c r="AE39">
        <v>8</v>
      </c>
      <c r="AF39">
        <v>1</v>
      </c>
      <c r="AG39">
        <v>8</v>
      </c>
      <c r="AH39">
        <v>80</v>
      </c>
      <c r="AI39">
        <v>20</v>
      </c>
      <c r="AJ39">
        <v>20</v>
      </c>
      <c r="AK39">
        <v>30</v>
      </c>
      <c r="AL39">
        <v>2</v>
      </c>
      <c r="AM39">
        <v>0</v>
      </c>
      <c r="AN39" t="s">
        <v>83</v>
      </c>
      <c r="AO39">
        <v>1</v>
      </c>
      <c r="AP39">
        <v>15</v>
      </c>
      <c r="AQ39">
        <v>750</v>
      </c>
      <c r="AR39" t="s">
        <v>84</v>
      </c>
      <c r="AS39">
        <v>1</v>
      </c>
      <c r="AT39">
        <v>40</v>
      </c>
      <c r="AU39">
        <v>5</v>
      </c>
      <c r="AV39">
        <v>5</v>
      </c>
      <c r="AW39">
        <v>20</v>
      </c>
      <c r="AX39">
        <v>4</v>
      </c>
      <c r="AY39">
        <v>0</v>
      </c>
      <c r="AZ39" t="s">
        <v>83</v>
      </c>
      <c r="BA39">
        <v>0.2</v>
      </c>
      <c r="BB39">
        <v>8</v>
      </c>
      <c r="BC39">
        <v>0</v>
      </c>
      <c r="BD39">
        <v>750</v>
      </c>
      <c r="BE39" t="b">
        <v>0</v>
      </c>
      <c r="BF39">
        <v>6</v>
      </c>
      <c r="BG39">
        <v>0</v>
      </c>
      <c r="BH39">
        <v>1</v>
      </c>
      <c r="BI39">
        <v>1</v>
      </c>
      <c r="BJ39">
        <v>16</v>
      </c>
      <c r="BK39" t="s">
        <v>73</v>
      </c>
      <c r="BL39">
        <v>200</v>
      </c>
      <c r="BM39">
        <v>1000</v>
      </c>
      <c r="BN39" t="b">
        <v>0</v>
      </c>
      <c r="BO39" t="s">
        <v>85</v>
      </c>
      <c r="BP39">
        <v>2021</v>
      </c>
      <c r="BQ39" t="s">
        <v>86</v>
      </c>
      <c r="BR39" t="s">
        <v>235</v>
      </c>
    </row>
    <row r="40" spans="1:70">
      <c r="A40" t="s">
        <v>236</v>
      </c>
      <c r="B40" t="s">
        <v>71</v>
      </c>
      <c r="C40" t="s">
        <v>237</v>
      </c>
      <c r="D40" t="s">
        <v>73</v>
      </c>
      <c r="E40" t="s">
        <v>74</v>
      </c>
      <c r="F40">
        <v>40</v>
      </c>
      <c r="G40">
        <v>0.425361352671555</v>
      </c>
      <c r="H40">
        <v>0.483142241277908</v>
      </c>
      <c r="I40">
        <v>0.62</v>
      </c>
      <c r="J40">
        <v>0.61578125</v>
      </c>
      <c r="K40" t="s">
        <v>75</v>
      </c>
      <c r="L40" t="s">
        <v>238</v>
      </c>
      <c r="M40">
        <v>-6.8795</v>
      </c>
      <c r="N40">
        <v>96.875</v>
      </c>
      <c r="O40">
        <f t="shared" si="2"/>
        <v>62</v>
      </c>
      <c r="P40">
        <v>-7.24158064516129</v>
      </c>
      <c r="Q40">
        <f t="shared" si="3"/>
        <v>-448.978</v>
      </c>
      <c r="R40">
        <v>-11.623</v>
      </c>
      <c r="S40">
        <v>100</v>
      </c>
      <c r="T40" t="s">
        <v>77</v>
      </c>
      <c r="U40" t="s">
        <v>78</v>
      </c>
      <c r="V40">
        <v>0</v>
      </c>
      <c r="W40" t="s">
        <v>79</v>
      </c>
      <c r="X40">
        <v>2</v>
      </c>
      <c r="Y40">
        <v>1</v>
      </c>
      <c r="Z40" t="b">
        <v>1</v>
      </c>
      <c r="AA40" t="s">
        <v>80</v>
      </c>
      <c r="AB40" t="s">
        <v>81</v>
      </c>
      <c r="AC40" t="b">
        <v>0</v>
      </c>
      <c r="AD40" t="s">
        <v>82</v>
      </c>
      <c r="AE40">
        <v>8</v>
      </c>
      <c r="AF40">
        <v>1</v>
      </c>
      <c r="AG40">
        <v>8</v>
      </c>
      <c r="AH40">
        <v>80</v>
      </c>
      <c r="AI40">
        <v>20</v>
      </c>
      <c r="AJ40">
        <v>20</v>
      </c>
      <c r="AK40">
        <v>30</v>
      </c>
      <c r="AL40">
        <v>2</v>
      </c>
      <c r="AM40">
        <v>0</v>
      </c>
      <c r="AN40" t="s">
        <v>83</v>
      </c>
      <c r="AO40">
        <v>1</v>
      </c>
      <c r="AP40">
        <v>15</v>
      </c>
      <c r="AQ40">
        <v>750</v>
      </c>
      <c r="AR40" t="s">
        <v>84</v>
      </c>
      <c r="AS40">
        <v>1</v>
      </c>
      <c r="AT40">
        <v>40</v>
      </c>
      <c r="AU40">
        <v>5</v>
      </c>
      <c r="AV40">
        <v>5</v>
      </c>
      <c r="AW40">
        <v>20</v>
      </c>
      <c r="AX40">
        <v>4</v>
      </c>
      <c r="AY40">
        <v>0</v>
      </c>
      <c r="AZ40" t="s">
        <v>83</v>
      </c>
      <c r="BA40">
        <v>0.2</v>
      </c>
      <c r="BB40">
        <v>8</v>
      </c>
      <c r="BC40">
        <v>0</v>
      </c>
      <c r="BD40">
        <v>750</v>
      </c>
      <c r="BE40" t="b">
        <v>0</v>
      </c>
      <c r="BF40">
        <v>6</v>
      </c>
      <c r="BG40">
        <v>0</v>
      </c>
      <c r="BH40">
        <v>1</v>
      </c>
      <c r="BI40">
        <v>1</v>
      </c>
      <c r="BJ40">
        <v>16</v>
      </c>
      <c r="BK40" t="s">
        <v>73</v>
      </c>
      <c r="BL40">
        <v>200</v>
      </c>
      <c r="BM40">
        <v>1000</v>
      </c>
      <c r="BN40" t="b">
        <v>0</v>
      </c>
      <c r="BO40" t="s">
        <v>85</v>
      </c>
      <c r="BP40">
        <v>2021</v>
      </c>
      <c r="BQ40" t="s">
        <v>86</v>
      </c>
      <c r="BR40" t="s">
        <v>239</v>
      </c>
    </row>
    <row r="41" spans="1:70">
      <c r="A41" t="s">
        <v>240</v>
      </c>
      <c r="B41" t="s">
        <v>71</v>
      </c>
      <c r="C41" t="s">
        <v>241</v>
      </c>
      <c r="D41" t="s">
        <v>73</v>
      </c>
      <c r="E41" t="s">
        <v>74</v>
      </c>
      <c r="F41">
        <v>42</v>
      </c>
      <c r="G41">
        <v>0.386796445049477</v>
      </c>
      <c r="H41">
        <v>0.407404324231621</v>
      </c>
      <c r="I41">
        <v>0.61</v>
      </c>
      <c r="J41">
        <v>0.618387096774194</v>
      </c>
      <c r="K41" t="s">
        <v>75</v>
      </c>
      <c r="L41" t="s">
        <v>242</v>
      </c>
      <c r="M41">
        <v>-11.743</v>
      </c>
      <c r="N41">
        <v>76.5625</v>
      </c>
      <c r="O41">
        <f t="shared" si="2"/>
        <v>49</v>
      </c>
      <c r="P41">
        <v>-11.5909183673469</v>
      </c>
      <c r="Q41">
        <f t="shared" si="3"/>
        <v>-567.955</v>
      </c>
      <c r="R41">
        <v>-16.229</v>
      </c>
      <c r="S41">
        <v>96.875</v>
      </c>
      <c r="T41" t="s">
        <v>77</v>
      </c>
      <c r="U41" t="s">
        <v>78</v>
      </c>
      <c r="V41">
        <v>0</v>
      </c>
      <c r="W41" t="s">
        <v>79</v>
      </c>
      <c r="X41">
        <v>2</v>
      </c>
      <c r="Y41">
        <v>1</v>
      </c>
      <c r="Z41" t="b">
        <v>1</v>
      </c>
      <c r="AA41" t="s">
        <v>80</v>
      </c>
      <c r="AB41" t="s">
        <v>81</v>
      </c>
      <c r="AC41" t="b">
        <v>0</v>
      </c>
      <c r="AD41" t="s">
        <v>82</v>
      </c>
      <c r="AE41">
        <v>8</v>
      </c>
      <c r="AF41">
        <v>1</v>
      </c>
      <c r="AG41">
        <v>8</v>
      </c>
      <c r="AH41">
        <v>80</v>
      </c>
      <c r="AI41">
        <v>20</v>
      </c>
      <c r="AJ41">
        <v>20</v>
      </c>
      <c r="AK41">
        <v>30</v>
      </c>
      <c r="AL41">
        <v>2</v>
      </c>
      <c r="AM41">
        <v>0</v>
      </c>
      <c r="AN41" t="s">
        <v>83</v>
      </c>
      <c r="AO41">
        <v>1</v>
      </c>
      <c r="AP41">
        <v>15</v>
      </c>
      <c r="AQ41">
        <v>750</v>
      </c>
      <c r="AR41" t="s">
        <v>84</v>
      </c>
      <c r="AS41">
        <v>1</v>
      </c>
      <c r="AT41">
        <v>40</v>
      </c>
      <c r="AU41">
        <v>5</v>
      </c>
      <c r="AV41">
        <v>5</v>
      </c>
      <c r="AW41">
        <v>20</v>
      </c>
      <c r="AX41">
        <v>4</v>
      </c>
      <c r="AY41">
        <v>0</v>
      </c>
      <c r="AZ41" t="s">
        <v>83</v>
      </c>
      <c r="BA41">
        <v>0.2</v>
      </c>
      <c r="BB41">
        <v>8</v>
      </c>
      <c r="BC41">
        <v>0</v>
      </c>
      <c r="BD41">
        <v>750</v>
      </c>
      <c r="BE41" t="b">
        <v>0</v>
      </c>
      <c r="BF41">
        <v>6</v>
      </c>
      <c r="BG41">
        <v>0</v>
      </c>
      <c r="BH41">
        <v>1</v>
      </c>
      <c r="BI41">
        <v>1</v>
      </c>
      <c r="BJ41">
        <v>16</v>
      </c>
      <c r="BK41" t="s">
        <v>73</v>
      </c>
      <c r="BL41">
        <v>200</v>
      </c>
      <c r="BM41">
        <v>1000</v>
      </c>
      <c r="BN41" t="b">
        <v>0</v>
      </c>
      <c r="BO41" t="s">
        <v>85</v>
      </c>
      <c r="BP41">
        <v>2021</v>
      </c>
      <c r="BQ41" t="s">
        <v>86</v>
      </c>
      <c r="BR41" t="s">
        <v>243</v>
      </c>
    </row>
    <row r="42" spans="1:70">
      <c r="A42" t="s">
        <v>244</v>
      </c>
      <c r="B42" t="s">
        <v>71</v>
      </c>
      <c r="C42" t="s">
        <v>245</v>
      </c>
      <c r="D42" t="s">
        <v>73</v>
      </c>
      <c r="E42" t="s">
        <v>74</v>
      </c>
      <c r="F42">
        <v>43</v>
      </c>
      <c r="G42">
        <v>0.476673819970025</v>
      </c>
      <c r="H42">
        <v>0.479583248059187</v>
      </c>
      <c r="I42">
        <v>0.69</v>
      </c>
      <c r="J42">
        <v>0.69796875</v>
      </c>
      <c r="K42" t="s">
        <v>75</v>
      </c>
      <c r="L42" t="s">
        <v>246</v>
      </c>
      <c r="M42">
        <v>-4.845</v>
      </c>
      <c r="N42">
        <v>84.375</v>
      </c>
      <c r="O42">
        <f t="shared" si="2"/>
        <v>54</v>
      </c>
      <c r="P42">
        <v>-5.08416666666667</v>
      </c>
      <c r="Q42">
        <f t="shared" si="3"/>
        <v>-274.545</v>
      </c>
      <c r="R42">
        <v>-6.968</v>
      </c>
      <c r="S42">
        <v>100</v>
      </c>
      <c r="T42" t="s">
        <v>77</v>
      </c>
      <c r="U42" t="s">
        <v>78</v>
      </c>
      <c r="V42">
        <v>0</v>
      </c>
      <c r="W42" t="s">
        <v>79</v>
      </c>
      <c r="X42">
        <v>2</v>
      </c>
      <c r="Y42">
        <v>1</v>
      </c>
      <c r="Z42" t="b">
        <v>1</v>
      </c>
      <c r="AA42" t="s">
        <v>80</v>
      </c>
      <c r="AB42" t="s">
        <v>81</v>
      </c>
      <c r="AC42" t="b">
        <v>0</v>
      </c>
      <c r="AD42" t="s">
        <v>82</v>
      </c>
      <c r="AE42">
        <v>8</v>
      </c>
      <c r="AF42">
        <v>1</v>
      </c>
      <c r="AG42">
        <v>8</v>
      </c>
      <c r="AH42">
        <v>80</v>
      </c>
      <c r="AI42">
        <v>20</v>
      </c>
      <c r="AJ42">
        <v>20</v>
      </c>
      <c r="AK42">
        <v>30</v>
      </c>
      <c r="AL42">
        <v>2</v>
      </c>
      <c r="AM42">
        <v>0</v>
      </c>
      <c r="AN42" t="s">
        <v>83</v>
      </c>
      <c r="AO42">
        <v>1</v>
      </c>
      <c r="AP42">
        <v>15</v>
      </c>
      <c r="AQ42">
        <v>750</v>
      </c>
      <c r="AR42" t="s">
        <v>84</v>
      </c>
      <c r="AS42">
        <v>1</v>
      </c>
      <c r="AT42">
        <v>40</v>
      </c>
      <c r="AU42">
        <v>5</v>
      </c>
      <c r="AV42">
        <v>5</v>
      </c>
      <c r="AW42">
        <v>20</v>
      </c>
      <c r="AX42">
        <v>4</v>
      </c>
      <c r="AY42">
        <v>0</v>
      </c>
      <c r="AZ42" t="s">
        <v>83</v>
      </c>
      <c r="BA42">
        <v>0.2</v>
      </c>
      <c r="BB42">
        <v>8</v>
      </c>
      <c r="BC42">
        <v>0</v>
      </c>
      <c r="BD42">
        <v>750</v>
      </c>
      <c r="BE42" t="b">
        <v>0</v>
      </c>
      <c r="BF42">
        <v>6</v>
      </c>
      <c r="BG42">
        <v>0</v>
      </c>
      <c r="BH42">
        <v>1</v>
      </c>
      <c r="BI42">
        <v>1</v>
      </c>
      <c r="BJ42">
        <v>16</v>
      </c>
      <c r="BK42" t="s">
        <v>73</v>
      </c>
      <c r="BL42">
        <v>200</v>
      </c>
      <c r="BM42">
        <v>1000</v>
      </c>
      <c r="BN42" t="b">
        <v>0</v>
      </c>
      <c r="BO42" t="s">
        <v>85</v>
      </c>
      <c r="BP42">
        <v>2021</v>
      </c>
      <c r="BQ42" t="s">
        <v>86</v>
      </c>
      <c r="BR42" t="s">
        <v>247</v>
      </c>
    </row>
    <row r="43" spans="1:70">
      <c r="A43" t="s">
        <v>248</v>
      </c>
      <c r="B43" t="s">
        <v>71</v>
      </c>
      <c r="C43" t="s">
        <v>249</v>
      </c>
      <c r="D43" t="s">
        <v>73</v>
      </c>
      <c r="E43" t="s">
        <v>74</v>
      </c>
      <c r="F43">
        <v>44</v>
      </c>
      <c r="G43">
        <v>0.133169281956782</v>
      </c>
      <c r="H43">
        <v>0.180056738602682</v>
      </c>
      <c r="I43">
        <v>0.52</v>
      </c>
      <c r="J43">
        <v>0.538730158730159</v>
      </c>
      <c r="K43" t="s">
        <v>75</v>
      </c>
      <c r="L43" t="s">
        <v>250</v>
      </c>
      <c r="M43">
        <v>-9.711</v>
      </c>
      <c r="N43">
        <v>75</v>
      </c>
      <c r="O43">
        <f t="shared" si="2"/>
        <v>48</v>
      </c>
      <c r="P43">
        <v>-9.69541666666667</v>
      </c>
      <c r="Q43">
        <f t="shared" si="3"/>
        <v>-465.38</v>
      </c>
      <c r="R43">
        <v>-14.152</v>
      </c>
      <c r="S43">
        <v>98.4375</v>
      </c>
      <c r="T43" t="s">
        <v>77</v>
      </c>
      <c r="U43" t="s">
        <v>78</v>
      </c>
      <c r="V43">
        <v>0</v>
      </c>
      <c r="W43" t="s">
        <v>79</v>
      </c>
      <c r="X43">
        <v>2</v>
      </c>
      <c r="Y43">
        <v>1</v>
      </c>
      <c r="Z43" t="b">
        <v>1</v>
      </c>
      <c r="AA43" t="s">
        <v>80</v>
      </c>
      <c r="AB43" t="s">
        <v>81</v>
      </c>
      <c r="AC43" t="b">
        <v>0</v>
      </c>
      <c r="AD43" t="s">
        <v>82</v>
      </c>
      <c r="AE43">
        <v>8</v>
      </c>
      <c r="AF43">
        <v>1</v>
      </c>
      <c r="AG43">
        <v>8</v>
      </c>
      <c r="AH43">
        <v>80</v>
      </c>
      <c r="AI43">
        <v>20</v>
      </c>
      <c r="AJ43">
        <v>20</v>
      </c>
      <c r="AK43">
        <v>30</v>
      </c>
      <c r="AL43">
        <v>2</v>
      </c>
      <c r="AM43">
        <v>0</v>
      </c>
      <c r="AN43" t="s">
        <v>83</v>
      </c>
      <c r="AO43">
        <v>1</v>
      </c>
      <c r="AP43">
        <v>15</v>
      </c>
      <c r="AQ43">
        <v>750</v>
      </c>
      <c r="AR43" t="s">
        <v>84</v>
      </c>
      <c r="AS43">
        <v>1</v>
      </c>
      <c r="AT43">
        <v>40</v>
      </c>
      <c r="AU43">
        <v>5</v>
      </c>
      <c r="AV43">
        <v>5</v>
      </c>
      <c r="AW43">
        <v>20</v>
      </c>
      <c r="AX43">
        <v>4</v>
      </c>
      <c r="AY43">
        <v>0</v>
      </c>
      <c r="AZ43" t="s">
        <v>83</v>
      </c>
      <c r="BA43">
        <v>0.2</v>
      </c>
      <c r="BB43">
        <v>8</v>
      </c>
      <c r="BC43">
        <v>0</v>
      </c>
      <c r="BD43">
        <v>750</v>
      </c>
      <c r="BE43" t="b">
        <v>0</v>
      </c>
      <c r="BF43">
        <v>6</v>
      </c>
      <c r="BG43">
        <v>0</v>
      </c>
      <c r="BH43">
        <v>1</v>
      </c>
      <c r="BI43">
        <v>1</v>
      </c>
      <c r="BJ43">
        <v>16</v>
      </c>
      <c r="BK43" t="s">
        <v>73</v>
      </c>
      <c r="BL43">
        <v>200</v>
      </c>
      <c r="BM43">
        <v>1000</v>
      </c>
      <c r="BN43" t="b">
        <v>0</v>
      </c>
      <c r="BO43" t="s">
        <v>85</v>
      </c>
      <c r="BP43">
        <v>2021</v>
      </c>
      <c r="BQ43" t="s">
        <v>86</v>
      </c>
      <c r="BR43" t="s">
        <v>251</v>
      </c>
    </row>
    <row r="44" spans="1:70">
      <c r="A44" t="s">
        <v>252</v>
      </c>
      <c r="B44" t="s">
        <v>71</v>
      </c>
      <c r="C44" t="s">
        <v>253</v>
      </c>
      <c r="D44" t="s">
        <v>73</v>
      </c>
      <c r="E44" t="s">
        <v>74</v>
      </c>
      <c r="F44">
        <v>45</v>
      </c>
      <c r="G44">
        <v>0.526023086526404</v>
      </c>
      <c r="H44">
        <v>0.497318240453939</v>
      </c>
      <c r="I44">
        <v>0.66</v>
      </c>
      <c r="J44">
        <v>0.65796875</v>
      </c>
      <c r="K44" t="s">
        <v>75</v>
      </c>
      <c r="L44" t="s">
        <v>254</v>
      </c>
      <c r="M44">
        <v>-7.831</v>
      </c>
      <c r="N44">
        <v>93.75</v>
      </c>
      <c r="O44">
        <f t="shared" si="2"/>
        <v>60</v>
      </c>
      <c r="P44">
        <v>-7.64151666666667</v>
      </c>
      <c r="Q44">
        <f t="shared" si="3"/>
        <v>-458.491</v>
      </c>
      <c r="R44">
        <v>-9.521</v>
      </c>
      <c r="S44">
        <v>100</v>
      </c>
      <c r="T44" t="s">
        <v>77</v>
      </c>
      <c r="U44" t="s">
        <v>78</v>
      </c>
      <c r="V44">
        <v>0</v>
      </c>
      <c r="W44" t="s">
        <v>79</v>
      </c>
      <c r="X44">
        <v>2</v>
      </c>
      <c r="Y44">
        <v>1</v>
      </c>
      <c r="Z44" t="b">
        <v>1</v>
      </c>
      <c r="AA44" t="s">
        <v>80</v>
      </c>
      <c r="AB44" t="s">
        <v>81</v>
      </c>
      <c r="AC44" t="b">
        <v>0</v>
      </c>
      <c r="AD44" t="s">
        <v>82</v>
      </c>
      <c r="AE44">
        <v>8</v>
      </c>
      <c r="AF44">
        <v>1</v>
      </c>
      <c r="AG44">
        <v>8</v>
      </c>
      <c r="AH44">
        <v>80</v>
      </c>
      <c r="AI44">
        <v>20</v>
      </c>
      <c r="AJ44">
        <v>20</v>
      </c>
      <c r="AK44">
        <v>30</v>
      </c>
      <c r="AL44">
        <v>2</v>
      </c>
      <c r="AM44">
        <v>0</v>
      </c>
      <c r="AN44" t="s">
        <v>83</v>
      </c>
      <c r="AO44">
        <v>1</v>
      </c>
      <c r="AP44">
        <v>15</v>
      </c>
      <c r="AQ44">
        <v>750</v>
      </c>
      <c r="AR44" t="s">
        <v>84</v>
      </c>
      <c r="AS44">
        <v>1</v>
      </c>
      <c r="AT44">
        <v>40</v>
      </c>
      <c r="AU44">
        <v>5</v>
      </c>
      <c r="AV44">
        <v>5</v>
      </c>
      <c r="AW44">
        <v>20</v>
      </c>
      <c r="AX44">
        <v>4</v>
      </c>
      <c r="AY44">
        <v>0</v>
      </c>
      <c r="AZ44" t="s">
        <v>83</v>
      </c>
      <c r="BA44">
        <v>0.2</v>
      </c>
      <c r="BB44">
        <v>8</v>
      </c>
      <c r="BC44">
        <v>0</v>
      </c>
      <c r="BD44">
        <v>750</v>
      </c>
      <c r="BE44" t="b">
        <v>0</v>
      </c>
      <c r="BF44">
        <v>6</v>
      </c>
      <c r="BG44">
        <v>0</v>
      </c>
      <c r="BH44">
        <v>1</v>
      </c>
      <c r="BI44">
        <v>1</v>
      </c>
      <c r="BJ44">
        <v>16</v>
      </c>
      <c r="BK44" t="s">
        <v>73</v>
      </c>
      <c r="BL44">
        <v>200</v>
      </c>
      <c r="BM44">
        <v>1000</v>
      </c>
      <c r="BN44" t="b">
        <v>0</v>
      </c>
      <c r="BO44" t="s">
        <v>85</v>
      </c>
      <c r="BP44">
        <v>2021</v>
      </c>
      <c r="BQ44" t="s">
        <v>86</v>
      </c>
      <c r="BR44" t="s">
        <v>255</v>
      </c>
    </row>
    <row r="45" spans="1:70">
      <c r="A45" t="s">
        <v>256</v>
      </c>
      <c r="B45" t="s">
        <v>71</v>
      </c>
      <c r="C45" t="s">
        <v>257</v>
      </c>
      <c r="D45" t="s">
        <v>73</v>
      </c>
      <c r="E45" t="s">
        <v>74</v>
      </c>
      <c r="F45">
        <v>46</v>
      </c>
      <c r="G45">
        <v>0.308183728216522</v>
      </c>
      <c r="H45">
        <v>0.306575874296734</v>
      </c>
      <c r="I45">
        <v>0.61</v>
      </c>
      <c r="J45">
        <v>0.634912280701754</v>
      </c>
      <c r="K45" t="s">
        <v>75</v>
      </c>
      <c r="L45" t="s">
        <v>258</v>
      </c>
      <c r="M45">
        <v>-7.625</v>
      </c>
      <c r="N45">
        <v>32.8125</v>
      </c>
      <c r="O45">
        <f t="shared" si="2"/>
        <v>21</v>
      </c>
      <c r="P45">
        <v>-7.51747619047619</v>
      </c>
      <c r="Q45">
        <f t="shared" si="3"/>
        <v>-157.867</v>
      </c>
      <c r="R45">
        <v>-8.929</v>
      </c>
      <c r="S45">
        <v>89.0625</v>
      </c>
      <c r="T45" t="s">
        <v>77</v>
      </c>
      <c r="U45" t="s">
        <v>78</v>
      </c>
      <c r="V45">
        <v>0</v>
      </c>
      <c r="W45" t="s">
        <v>79</v>
      </c>
      <c r="X45">
        <v>2</v>
      </c>
      <c r="Y45">
        <v>1</v>
      </c>
      <c r="Z45" t="b">
        <v>1</v>
      </c>
      <c r="AA45" t="s">
        <v>80</v>
      </c>
      <c r="AB45" t="s">
        <v>81</v>
      </c>
      <c r="AC45" t="b">
        <v>0</v>
      </c>
      <c r="AD45" t="s">
        <v>82</v>
      </c>
      <c r="AE45">
        <v>8</v>
      </c>
      <c r="AF45">
        <v>1</v>
      </c>
      <c r="AG45">
        <v>8</v>
      </c>
      <c r="AH45">
        <v>80</v>
      </c>
      <c r="AI45">
        <v>20</v>
      </c>
      <c r="AJ45">
        <v>20</v>
      </c>
      <c r="AK45">
        <v>30</v>
      </c>
      <c r="AL45">
        <v>2</v>
      </c>
      <c r="AM45">
        <v>0</v>
      </c>
      <c r="AN45" t="s">
        <v>83</v>
      </c>
      <c r="AO45">
        <v>1</v>
      </c>
      <c r="AP45">
        <v>15</v>
      </c>
      <c r="AQ45">
        <v>750</v>
      </c>
      <c r="AR45" t="s">
        <v>84</v>
      </c>
      <c r="AS45">
        <v>1</v>
      </c>
      <c r="AT45">
        <v>40</v>
      </c>
      <c r="AU45">
        <v>5</v>
      </c>
      <c r="AV45">
        <v>5</v>
      </c>
      <c r="AW45">
        <v>20</v>
      </c>
      <c r="AX45">
        <v>4</v>
      </c>
      <c r="AY45">
        <v>0</v>
      </c>
      <c r="AZ45" t="s">
        <v>83</v>
      </c>
      <c r="BA45">
        <v>0.2</v>
      </c>
      <c r="BB45">
        <v>8</v>
      </c>
      <c r="BC45">
        <v>0</v>
      </c>
      <c r="BD45">
        <v>750</v>
      </c>
      <c r="BE45" t="b">
        <v>0</v>
      </c>
      <c r="BF45">
        <v>6</v>
      </c>
      <c r="BG45">
        <v>0</v>
      </c>
      <c r="BH45">
        <v>1</v>
      </c>
      <c r="BI45">
        <v>1</v>
      </c>
      <c r="BJ45">
        <v>16</v>
      </c>
      <c r="BK45" t="s">
        <v>73</v>
      </c>
      <c r="BL45">
        <v>200</v>
      </c>
      <c r="BM45">
        <v>1000</v>
      </c>
      <c r="BN45" t="b">
        <v>0</v>
      </c>
      <c r="BO45" t="s">
        <v>85</v>
      </c>
      <c r="BP45">
        <v>2021</v>
      </c>
      <c r="BQ45" t="s">
        <v>86</v>
      </c>
      <c r="BR45" t="s">
        <v>259</v>
      </c>
    </row>
    <row r="46" spans="1:70">
      <c r="A46" t="s">
        <v>260</v>
      </c>
      <c r="B46" t="s">
        <v>71</v>
      </c>
      <c r="C46" t="s">
        <v>261</v>
      </c>
      <c r="D46" t="s">
        <v>73</v>
      </c>
      <c r="E46" t="s">
        <v>74</v>
      </c>
      <c r="F46">
        <v>49</v>
      </c>
      <c r="G46">
        <v>0.302945900781509</v>
      </c>
      <c r="H46">
        <v>0.358577724102165</v>
      </c>
      <c r="I46">
        <v>0.605</v>
      </c>
      <c r="J46">
        <v>0.610344827586207</v>
      </c>
      <c r="K46" t="s">
        <v>75</v>
      </c>
      <c r="L46" t="s">
        <v>262</v>
      </c>
      <c r="M46">
        <v>-10.469</v>
      </c>
      <c r="N46">
        <v>56.25</v>
      </c>
      <c r="O46">
        <f t="shared" si="2"/>
        <v>36</v>
      </c>
      <c r="P46">
        <v>-10.6927222222222</v>
      </c>
      <c r="Q46">
        <f t="shared" si="3"/>
        <v>-384.938</v>
      </c>
      <c r="R46">
        <v>-15.22</v>
      </c>
      <c r="S46">
        <v>90.625</v>
      </c>
      <c r="T46" t="s">
        <v>77</v>
      </c>
      <c r="U46" t="s">
        <v>78</v>
      </c>
      <c r="V46">
        <v>0</v>
      </c>
      <c r="W46" t="s">
        <v>79</v>
      </c>
      <c r="X46">
        <v>2</v>
      </c>
      <c r="Y46">
        <v>1</v>
      </c>
      <c r="Z46" t="b">
        <v>1</v>
      </c>
      <c r="AA46" t="s">
        <v>80</v>
      </c>
      <c r="AB46" t="s">
        <v>81</v>
      </c>
      <c r="AC46" t="b">
        <v>0</v>
      </c>
      <c r="AD46" t="s">
        <v>82</v>
      </c>
      <c r="AE46">
        <v>8</v>
      </c>
      <c r="AF46">
        <v>1</v>
      </c>
      <c r="AG46">
        <v>8</v>
      </c>
      <c r="AH46">
        <v>80</v>
      </c>
      <c r="AI46">
        <v>20</v>
      </c>
      <c r="AJ46">
        <v>20</v>
      </c>
      <c r="AK46">
        <v>30</v>
      </c>
      <c r="AL46">
        <v>2</v>
      </c>
      <c r="AM46">
        <v>0</v>
      </c>
      <c r="AN46" t="s">
        <v>83</v>
      </c>
      <c r="AO46">
        <v>1</v>
      </c>
      <c r="AP46">
        <v>15</v>
      </c>
      <c r="AQ46">
        <v>750</v>
      </c>
      <c r="AR46" t="s">
        <v>84</v>
      </c>
      <c r="AS46">
        <v>1</v>
      </c>
      <c r="AT46">
        <v>40</v>
      </c>
      <c r="AU46">
        <v>5</v>
      </c>
      <c r="AV46">
        <v>5</v>
      </c>
      <c r="AW46">
        <v>20</v>
      </c>
      <c r="AX46">
        <v>4</v>
      </c>
      <c r="AY46">
        <v>0</v>
      </c>
      <c r="AZ46" t="s">
        <v>83</v>
      </c>
      <c r="BA46">
        <v>0.2</v>
      </c>
      <c r="BB46">
        <v>8</v>
      </c>
      <c r="BC46">
        <v>0</v>
      </c>
      <c r="BD46">
        <v>750</v>
      </c>
      <c r="BE46" t="b">
        <v>0</v>
      </c>
      <c r="BF46">
        <v>6</v>
      </c>
      <c r="BG46">
        <v>0</v>
      </c>
      <c r="BH46">
        <v>1</v>
      </c>
      <c r="BI46">
        <v>1</v>
      </c>
      <c r="BJ46">
        <v>16</v>
      </c>
      <c r="BK46" t="s">
        <v>73</v>
      </c>
      <c r="BL46">
        <v>200</v>
      </c>
      <c r="BM46">
        <v>1000</v>
      </c>
      <c r="BN46" t="b">
        <v>0</v>
      </c>
      <c r="BO46" t="s">
        <v>85</v>
      </c>
      <c r="BP46">
        <v>2021</v>
      </c>
      <c r="BQ46" t="s">
        <v>86</v>
      </c>
      <c r="BR46" t="s">
        <v>263</v>
      </c>
    </row>
    <row r="47" spans="1:70">
      <c r="A47" t="s">
        <v>264</v>
      </c>
      <c r="B47" t="s">
        <v>71</v>
      </c>
      <c r="C47" t="s">
        <v>265</v>
      </c>
      <c r="D47" t="s">
        <v>73</v>
      </c>
      <c r="E47" t="s">
        <v>74</v>
      </c>
      <c r="F47">
        <v>50</v>
      </c>
      <c r="G47">
        <v>0.399015324479921</v>
      </c>
      <c r="H47">
        <v>0.399091186481791</v>
      </c>
      <c r="I47">
        <v>0.65</v>
      </c>
      <c r="J47">
        <v>0.63453125</v>
      </c>
      <c r="K47" t="s">
        <v>75</v>
      </c>
      <c r="L47" t="s">
        <v>266</v>
      </c>
      <c r="M47">
        <v>-4.459</v>
      </c>
      <c r="N47">
        <v>98.4375</v>
      </c>
      <c r="O47">
        <f t="shared" si="2"/>
        <v>63</v>
      </c>
      <c r="P47">
        <v>-4.72639682539683</v>
      </c>
      <c r="Q47">
        <f t="shared" si="3"/>
        <v>-297.763</v>
      </c>
      <c r="R47">
        <v>-7.556</v>
      </c>
      <c r="S47">
        <v>100</v>
      </c>
      <c r="T47" t="s">
        <v>77</v>
      </c>
      <c r="U47" t="s">
        <v>78</v>
      </c>
      <c r="V47">
        <v>0</v>
      </c>
      <c r="W47" t="s">
        <v>79</v>
      </c>
      <c r="X47">
        <v>2</v>
      </c>
      <c r="Y47">
        <v>1</v>
      </c>
      <c r="Z47" t="b">
        <v>1</v>
      </c>
      <c r="AA47" t="s">
        <v>80</v>
      </c>
      <c r="AB47" t="s">
        <v>81</v>
      </c>
      <c r="AC47" t="b">
        <v>0</v>
      </c>
      <c r="AD47" t="s">
        <v>82</v>
      </c>
      <c r="AE47">
        <v>8</v>
      </c>
      <c r="AF47">
        <v>1</v>
      </c>
      <c r="AG47">
        <v>8</v>
      </c>
      <c r="AH47">
        <v>80</v>
      </c>
      <c r="AI47">
        <v>20</v>
      </c>
      <c r="AJ47">
        <v>20</v>
      </c>
      <c r="AK47">
        <v>30</v>
      </c>
      <c r="AL47">
        <v>2</v>
      </c>
      <c r="AM47">
        <v>0</v>
      </c>
      <c r="AN47" t="s">
        <v>83</v>
      </c>
      <c r="AO47">
        <v>1</v>
      </c>
      <c r="AP47">
        <v>15</v>
      </c>
      <c r="AQ47">
        <v>750</v>
      </c>
      <c r="AR47" t="s">
        <v>84</v>
      </c>
      <c r="AS47">
        <v>1</v>
      </c>
      <c r="AT47">
        <v>40</v>
      </c>
      <c r="AU47">
        <v>5</v>
      </c>
      <c r="AV47">
        <v>5</v>
      </c>
      <c r="AW47">
        <v>20</v>
      </c>
      <c r="AX47">
        <v>4</v>
      </c>
      <c r="AY47">
        <v>0</v>
      </c>
      <c r="AZ47" t="s">
        <v>83</v>
      </c>
      <c r="BA47">
        <v>0.2</v>
      </c>
      <c r="BB47">
        <v>8</v>
      </c>
      <c r="BC47">
        <v>0</v>
      </c>
      <c r="BD47">
        <v>750</v>
      </c>
      <c r="BE47" t="b">
        <v>0</v>
      </c>
      <c r="BF47">
        <v>6</v>
      </c>
      <c r="BG47">
        <v>0</v>
      </c>
      <c r="BH47">
        <v>1</v>
      </c>
      <c r="BI47">
        <v>1</v>
      </c>
      <c r="BJ47">
        <v>16</v>
      </c>
      <c r="BK47" t="s">
        <v>73</v>
      </c>
      <c r="BL47">
        <v>200</v>
      </c>
      <c r="BM47">
        <v>1000</v>
      </c>
      <c r="BN47" t="b">
        <v>0</v>
      </c>
      <c r="BO47" t="s">
        <v>85</v>
      </c>
      <c r="BP47">
        <v>2021</v>
      </c>
      <c r="BQ47" t="s">
        <v>86</v>
      </c>
      <c r="BR47" t="s">
        <v>267</v>
      </c>
    </row>
    <row r="48" spans="1:70">
      <c r="A48" t="s">
        <v>268</v>
      </c>
      <c r="B48" t="s">
        <v>71</v>
      </c>
      <c r="C48" t="s">
        <v>269</v>
      </c>
      <c r="D48" t="s">
        <v>73</v>
      </c>
      <c r="E48" t="s">
        <v>74</v>
      </c>
      <c r="F48">
        <v>51</v>
      </c>
      <c r="G48">
        <v>0.270002642804216</v>
      </c>
      <c r="H48">
        <v>0.279884427466808</v>
      </c>
      <c r="I48">
        <v>0.6</v>
      </c>
      <c r="J48">
        <v>0.597936507936508</v>
      </c>
      <c r="K48" t="s">
        <v>75</v>
      </c>
      <c r="L48" t="s">
        <v>270</v>
      </c>
      <c r="M48">
        <v>-8.393</v>
      </c>
      <c r="N48">
        <v>70.3125</v>
      </c>
      <c r="O48">
        <f t="shared" si="2"/>
        <v>45</v>
      </c>
      <c r="P48">
        <v>-8.31011111111111</v>
      </c>
      <c r="Q48">
        <f t="shared" si="3"/>
        <v>-373.955</v>
      </c>
      <c r="R48">
        <v>-10.467</v>
      </c>
      <c r="S48">
        <v>98.4375</v>
      </c>
      <c r="T48" t="s">
        <v>77</v>
      </c>
      <c r="U48" t="s">
        <v>78</v>
      </c>
      <c r="V48">
        <v>0</v>
      </c>
      <c r="W48" t="s">
        <v>79</v>
      </c>
      <c r="X48">
        <v>2</v>
      </c>
      <c r="Y48">
        <v>1</v>
      </c>
      <c r="Z48" t="b">
        <v>1</v>
      </c>
      <c r="AA48" t="s">
        <v>80</v>
      </c>
      <c r="AB48" t="s">
        <v>81</v>
      </c>
      <c r="AC48" t="b">
        <v>0</v>
      </c>
      <c r="AD48" t="s">
        <v>82</v>
      </c>
      <c r="AE48">
        <v>8</v>
      </c>
      <c r="AF48">
        <v>1</v>
      </c>
      <c r="AG48">
        <v>8</v>
      </c>
      <c r="AH48">
        <v>80</v>
      </c>
      <c r="AI48">
        <v>20</v>
      </c>
      <c r="AJ48">
        <v>20</v>
      </c>
      <c r="AK48">
        <v>30</v>
      </c>
      <c r="AL48">
        <v>2</v>
      </c>
      <c r="AM48">
        <v>0</v>
      </c>
      <c r="AN48" t="s">
        <v>83</v>
      </c>
      <c r="AO48">
        <v>1</v>
      </c>
      <c r="AP48">
        <v>15</v>
      </c>
      <c r="AQ48">
        <v>750</v>
      </c>
      <c r="AR48" t="s">
        <v>84</v>
      </c>
      <c r="AS48">
        <v>1</v>
      </c>
      <c r="AT48">
        <v>40</v>
      </c>
      <c r="AU48">
        <v>5</v>
      </c>
      <c r="AV48">
        <v>5</v>
      </c>
      <c r="AW48">
        <v>20</v>
      </c>
      <c r="AX48">
        <v>4</v>
      </c>
      <c r="AY48">
        <v>0</v>
      </c>
      <c r="AZ48" t="s">
        <v>83</v>
      </c>
      <c r="BA48">
        <v>0.2</v>
      </c>
      <c r="BB48">
        <v>8</v>
      </c>
      <c r="BC48">
        <v>0</v>
      </c>
      <c r="BD48">
        <v>750</v>
      </c>
      <c r="BE48" t="b">
        <v>0</v>
      </c>
      <c r="BF48">
        <v>6</v>
      </c>
      <c r="BG48">
        <v>0</v>
      </c>
      <c r="BH48">
        <v>1</v>
      </c>
      <c r="BI48">
        <v>1</v>
      </c>
      <c r="BJ48">
        <v>16</v>
      </c>
      <c r="BK48" t="s">
        <v>73</v>
      </c>
      <c r="BL48">
        <v>200</v>
      </c>
      <c r="BM48">
        <v>1000</v>
      </c>
      <c r="BN48" t="b">
        <v>0</v>
      </c>
      <c r="BO48" t="s">
        <v>85</v>
      </c>
      <c r="BP48">
        <v>2021</v>
      </c>
      <c r="BQ48" t="s">
        <v>86</v>
      </c>
      <c r="BR48" t="s">
        <v>271</v>
      </c>
    </row>
    <row r="49" spans="1:70">
      <c r="A49" t="s">
        <v>272</v>
      </c>
      <c r="B49" t="s">
        <v>71</v>
      </c>
      <c r="C49" t="s">
        <v>273</v>
      </c>
      <c r="D49" t="s">
        <v>73</v>
      </c>
      <c r="E49" t="s">
        <v>74</v>
      </c>
      <c r="F49">
        <v>52</v>
      </c>
      <c r="G49">
        <v>0.234025647404148</v>
      </c>
      <c r="H49">
        <v>0.240237111719139</v>
      </c>
      <c r="I49">
        <v>0.59</v>
      </c>
      <c r="J49">
        <v>0.581746031746032</v>
      </c>
      <c r="K49" t="s">
        <v>75</v>
      </c>
      <c r="L49" t="s">
        <v>274</v>
      </c>
      <c r="M49">
        <v>-8.4595</v>
      </c>
      <c r="N49">
        <v>59.375</v>
      </c>
      <c r="O49">
        <f t="shared" si="2"/>
        <v>38</v>
      </c>
      <c r="P49">
        <v>-8.39573684210526</v>
      </c>
      <c r="Q49">
        <f t="shared" si="3"/>
        <v>-319.038</v>
      </c>
      <c r="R49">
        <v>-11.264</v>
      </c>
      <c r="S49">
        <v>98.4375</v>
      </c>
      <c r="T49" t="s">
        <v>77</v>
      </c>
      <c r="U49" t="s">
        <v>78</v>
      </c>
      <c r="V49">
        <v>0</v>
      </c>
      <c r="W49" t="s">
        <v>79</v>
      </c>
      <c r="X49">
        <v>2</v>
      </c>
      <c r="Y49">
        <v>1</v>
      </c>
      <c r="Z49" t="b">
        <v>1</v>
      </c>
      <c r="AA49" t="s">
        <v>80</v>
      </c>
      <c r="AB49" t="s">
        <v>81</v>
      </c>
      <c r="AC49" t="b">
        <v>0</v>
      </c>
      <c r="AD49" t="s">
        <v>82</v>
      </c>
      <c r="AE49">
        <v>8</v>
      </c>
      <c r="AF49">
        <v>1</v>
      </c>
      <c r="AG49">
        <v>8</v>
      </c>
      <c r="AH49">
        <v>80</v>
      </c>
      <c r="AI49">
        <v>20</v>
      </c>
      <c r="AJ49">
        <v>20</v>
      </c>
      <c r="AK49">
        <v>30</v>
      </c>
      <c r="AL49">
        <v>2</v>
      </c>
      <c r="AM49">
        <v>0</v>
      </c>
      <c r="AN49" t="s">
        <v>83</v>
      </c>
      <c r="AO49">
        <v>1</v>
      </c>
      <c r="AP49">
        <v>15</v>
      </c>
      <c r="AQ49">
        <v>750</v>
      </c>
      <c r="AR49" t="s">
        <v>84</v>
      </c>
      <c r="AS49">
        <v>1</v>
      </c>
      <c r="AT49">
        <v>40</v>
      </c>
      <c r="AU49">
        <v>5</v>
      </c>
      <c r="AV49">
        <v>5</v>
      </c>
      <c r="AW49">
        <v>20</v>
      </c>
      <c r="AX49">
        <v>4</v>
      </c>
      <c r="AY49">
        <v>0</v>
      </c>
      <c r="AZ49" t="s">
        <v>83</v>
      </c>
      <c r="BA49">
        <v>0.2</v>
      </c>
      <c r="BB49">
        <v>8</v>
      </c>
      <c r="BC49">
        <v>0</v>
      </c>
      <c r="BD49">
        <v>750</v>
      </c>
      <c r="BE49" t="b">
        <v>0</v>
      </c>
      <c r="BF49">
        <v>6</v>
      </c>
      <c r="BG49">
        <v>0</v>
      </c>
      <c r="BH49">
        <v>1</v>
      </c>
      <c r="BI49">
        <v>1</v>
      </c>
      <c r="BJ49">
        <v>16</v>
      </c>
      <c r="BK49" t="s">
        <v>73</v>
      </c>
      <c r="BL49">
        <v>200</v>
      </c>
      <c r="BM49">
        <v>1000</v>
      </c>
      <c r="BN49" t="b">
        <v>0</v>
      </c>
      <c r="BO49" t="s">
        <v>85</v>
      </c>
      <c r="BP49">
        <v>2021</v>
      </c>
      <c r="BQ49" t="s">
        <v>86</v>
      </c>
      <c r="BR49" t="s">
        <v>275</v>
      </c>
    </row>
    <row r="50" spans="1:70">
      <c r="A50" t="s">
        <v>276</v>
      </c>
      <c r="B50" t="s">
        <v>71</v>
      </c>
      <c r="C50" t="s">
        <v>277</v>
      </c>
      <c r="D50" t="s">
        <v>73</v>
      </c>
      <c r="E50" t="s">
        <v>74</v>
      </c>
      <c r="F50">
        <v>53</v>
      </c>
      <c r="G50">
        <v>0.212452014332475</v>
      </c>
      <c r="H50">
        <v>0.221646499939869</v>
      </c>
      <c r="I50">
        <v>0.51</v>
      </c>
      <c r="J50">
        <v>0.513968253968254</v>
      </c>
      <c r="K50" t="s">
        <v>75</v>
      </c>
      <c r="L50" t="s">
        <v>278</v>
      </c>
      <c r="M50">
        <v>-8.899</v>
      </c>
      <c r="N50">
        <v>54.6875</v>
      </c>
      <c r="O50">
        <f t="shared" si="2"/>
        <v>35</v>
      </c>
      <c r="P50">
        <v>-9.34165714285714</v>
      </c>
      <c r="Q50">
        <f t="shared" si="3"/>
        <v>-326.958</v>
      </c>
      <c r="R50">
        <v>-12.736</v>
      </c>
      <c r="S50">
        <v>98.4375</v>
      </c>
      <c r="T50" t="s">
        <v>77</v>
      </c>
      <c r="U50" t="s">
        <v>78</v>
      </c>
      <c r="V50">
        <v>0</v>
      </c>
      <c r="W50" t="s">
        <v>79</v>
      </c>
      <c r="X50">
        <v>2</v>
      </c>
      <c r="Y50">
        <v>1</v>
      </c>
      <c r="Z50" t="b">
        <v>1</v>
      </c>
      <c r="AA50" t="s">
        <v>80</v>
      </c>
      <c r="AB50" t="s">
        <v>81</v>
      </c>
      <c r="AC50" t="b">
        <v>0</v>
      </c>
      <c r="AD50" t="s">
        <v>82</v>
      </c>
      <c r="AE50">
        <v>8</v>
      </c>
      <c r="AF50">
        <v>1</v>
      </c>
      <c r="AG50">
        <v>8</v>
      </c>
      <c r="AH50">
        <v>80</v>
      </c>
      <c r="AI50">
        <v>20</v>
      </c>
      <c r="AJ50">
        <v>20</v>
      </c>
      <c r="AK50">
        <v>30</v>
      </c>
      <c r="AL50">
        <v>2</v>
      </c>
      <c r="AM50">
        <v>0</v>
      </c>
      <c r="AN50" t="s">
        <v>83</v>
      </c>
      <c r="AO50">
        <v>1</v>
      </c>
      <c r="AP50">
        <v>15</v>
      </c>
      <c r="AQ50">
        <v>750</v>
      </c>
      <c r="AR50" t="s">
        <v>84</v>
      </c>
      <c r="AS50">
        <v>1</v>
      </c>
      <c r="AT50">
        <v>40</v>
      </c>
      <c r="AU50">
        <v>5</v>
      </c>
      <c r="AV50">
        <v>5</v>
      </c>
      <c r="AW50">
        <v>20</v>
      </c>
      <c r="AX50">
        <v>4</v>
      </c>
      <c r="AY50">
        <v>0</v>
      </c>
      <c r="AZ50" t="s">
        <v>83</v>
      </c>
      <c r="BA50">
        <v>0.2</v>
      </c>
      <c r="BB50">
        <v>8</v>
      </c>
      <c r="BC50">
        <v>0</v>
      </c>
      <c r="BD50">
        <v>750</v>
      </c>
      <c r="BE50" t="b">
        <v>0</v>
      </c>
      <c r="BF50">
        <v>6</v>
      </c>
      <c r="BG50">
        <v>0</v>
      </c>
      <c r="BH50">
        <v>1</v>
      </c>
      <c r="BI50">
        <v>1</v>
      </c>
      <c r="BJ50">
        <v>16</v>
      </c>
      <c r="BK50" t="s">
        <v>73</v>
      </c>
      <c r="BL50">
        <v>200</v>
      </c>
      <c r="BM50">
        <v>1000</v>
      </c>
      <c r="BN50" t="b">
        <v>0</v>
      </c>
      <c r="BO50" t="s">
        <v>85</v>
      </c>
      <c r="BP50">
        <v>2021</v>
      </c>
      <c r="BQ50" t="s">
        <v>86</v>
      </c>
      <c r="BR50" t="s">
        <v>279</v>
      </c>
    </row>
    <row r="51" spans="1:70">
      <c r="A51" t="s">
        <v>280</v>
      </c>
      <c r="B51" t="s">
        <v>71</v>
      </c>
      <c r="C51" t="s">
        <v>281</v>
      </c>
      <c r="D51" t="s">
        <v>73</v>
      </c>
      <c r="E51" t="s">
        <v>74</v>
      </c>
      <c r="F51">
        <v>54</v>
      </c>
      <c r="G51">
        <v>0.228906537327718</v>
      </c>
      <c r="H51">
        <v>0.256537017370564</v>
      </c>
      <c r="I51">
        <v>0.61</v>
      </c>
      <c r="J51">
        <v>0.6084375</v>
      </c>
      <c r="K51" t="s">
        <v>75</v>
      </c>
      <c r="L51" t="s">
        <v>282</v>
      </c>
      <c r="M51">
        <v>-8.696</v>
      </c>
      <c r="N51">
        <v>64.0625</v>
      </c>
      <c r="O51">
        <f t="shared" si="2"/>
        <v>41</v>
      </c>
      <c r="P51">
        <v>-8.75951219512195</v>
      </c>
      <c r="Q51">
        <f t="shared" si="3"/>
        <v>-359.14</v>
      </c>
      <c r="R51">
        <v>-12.374</v>
      </c>
      <c r="S51">
        <v>100</v>
      </c>
      <c r="T51" t="s">
        <v>77</v>
      </c>
      <c r="U51" t="s">
        <v>78</v>
      </c>
      <c r="V51">
        <v>0</v>
      </c>
      <c r="W51" t="s">
        <v>79</v>
      </c>
      <c r="X51">
        <v>2</v>
      </c>
      <c r="Y51">
        <v>1</v>
      </c>
      <c r="Z51" t="b">
        <v>1</v>
      </c>
      <c r="AA51" t="s">
        <v>80</v>
      </c>
      <c r="AB51" t="s">
        <v>81</v>
      </c>
      <c r="AC51" t="b">
        <v>0</v>
      </c>
      <c r="AD51" t="s">
        <v>82</v>
      </c>
      <c r="AE51">
        <v>8</v>
      </c>
      <c r="AF51">
        <v>1</v>
      </c>
      <c r="AG51">
        <v>8</v>
      </c>
      <c r="AH51">
        <v>80</v>
      </c>
      <c r="AI51">
        <v>20</v>
      </c>
      <c r="AJ51">
        <v>20</v>
      </c>
      <c r="AK51">
        <v>30</v>
      </c>
      <c r="AL51">
        <v>2</v>
      </c>
      <c r="AM51">
        <v>0</v>
      </c>
      <c r="AN51" t="s">
        <v>83</v>
      </c>
      <c r="AO51">
        <v>1</v>
      </c>
      <c r="AP51">
        <v>15</v>
      </c>
      <c r="AQ51">
        <v>750</v>
      </c>
      <c r="AR51" t="s">
        <v>84</v>
      </c>
      <c r="AS51">
        <v>1</v>
      </c>
      <c r="AT51">
        <v>40</v>
      </c>
      <c r="AU51">
        <v>5</v>
      </c>
      <c r="AV51">
        <v>5</v>
      </c>
      <c r="AW51">
        <v>20</v>
      </c>
      <c r="AX51">
        <v>4</v>
      </c>
      <c r="AY51">
        <v>0</v>
      </c>
      <c r="AZ51" t="s">
        <v>83</v>
      </c>
      <c r="BA51">
        <v>0.2</v>
      </c>
      <c r="BB51">
        <v>8</v>
      </c>
      <c r="BC51">
        <v>0</v>
      </c>
      <c r="BD51">
        <v>750</v>
      </c>
      <c r="BE51" t="b">
        <v>0</v>
      </c>
      <c r="BF51">
        <v>6</v>
      </c>
      <c r="BG51">
        <v>0</v>
      </c>
      <c r="BH51">
        <v>1</v>
      </c>
      <c r="BI51">
        <v>1</v>
      </c>
      <c r="BJ51">
        <v>16</v>
      </c>
      <c r="BK51" t="s">
        <v>73</v>
      </c>
      <c r="BL51">
        <v>200</v>
      </c>
      <c r="BM51">
        <v>1000</v>
      </c>
      <c r="BN51" t="b">
        <v>0</v>
      </c>
      <c r="BO51" t="s">
        <v>85</v>
      </c>
      <c r="BP51">
        <v>2021</v>
      </c>
      <c r="BQ51" t="s">
        <v>86</v>
      </c>
      <c r="BR51" t="s">
        <v>283</v>
      </c>
    </row>
    <row r="52" spans="1:70">
      <c r="A52" t="s">
        <v>284</v>
      </c>
      <c r="B52" t="s">
        <v>71</v>
      </c>
      <c r="C52" t="s">
        <v>285</v>
      </c>
      <c r="D52" t="s">
        <v>73</v>
      </c>
      <c r="E52" t="s">
        <v>74</v>
      </c>
      <c r="F52">
        <v>55</v>
      </c>
      <c r="G52">
        <v>0.524963566782499</v>
      </c>
      <c r="H52">
        <v>0.483609730675324</v>
      </c>
      <c r="I52">
        <v>0.71</v>
      </c>
      <c r="J52">
        <v>0.693968253968254</v>
      </c>
      <c r="K52" t="s">
        <v>75</v>
      </c>
      <c r="L52" t="s">
        <v>286</v>
      </c>
      <c r="M52">
        <v>-5.6465</v>
      </c>
      <c r="N52">
        <v>87.5</v>
      </c>
      <c r="O52">
        <f t="shared" si="2"/>
        <v>56</v>
      </c>
      <c r="P52">
        <v>-6.33823214285714</v>
      </c>
      <c r="Q52">
        <f t="shared" si="3"/>
        <v>-354.941</v>
      </c>
      <c r="R52">
        <v>-14.653</v>
      </c>
      <c r="S52">
        <v>100</v>
      </c>
      <c r="T52" t="s">
        <v>77</v>
      </c>
      <c r="U52" t="s">
        <v>78</v>
      </c>
      <c r="V52">
        <v>0</v>
      </c>
      <c r="W52" t="s">
        <v>79</v>
      </c>
      <c r="X52">
        <v>2</v>
      </c>
      <c r="Y52">
        <v>1</v>
      </c>
      <c r="Z52" t="b">
        <v>1</v>
      </c>
      <c r="AA52" t="s">
        <v>80</v>
      </c>
      <c r="AB52" t="s">
        <v>81</v>
      </c>
      <c r="AC52" t="b">
        <v>0</v>
      </c>
      <c r="AD52" t="s">
        <v>82</v>
      </c>
      <c r="AE52">
        <v>8</v>
      </c>
      <c r="AF52">
        <v>1</v>
      </c>
      <c r="AG52">
        <v>8</v>
      </c>
      <c r="AH52">
        <v>80</v>
      </c>
      <c r="AI52">
        <v>20</v>
      </c>
      <c r="AJ52">
        <v>20</v>
      </c>
      <c r="AK52">
        <v>30</v>
      </c>
      <c r="AL52">
        <v>2</v>
      </c>
      <c r="AM52">
        <v>0</v>
      </c>
      <c r="AN52" t="s">
        <v>83</v>
      </c>
      <c r="AO52">
        <v>1</v>
      </c>
      <c r="AP52">
        <v>15</v>
      </c>
      <c r="AQ52">
        <v>750</v>
      </c>
      <c r="AR52" t="s">
        <v>84</v>
      </c>
      <c r="AS52">
        <v>1</v>
      </c>
      <c r="AT52">
        <v>40</v>
      </c>
      <c r="AU52">
        <v>5</v>
      </c>
      <c r="AV52">
        <v>5</v>
      </c>
      <c r="AW52">
        <v>20</v>
      </c>
      <c r="AX52">
        <v>4</v>
      </c>
      <c r="AY52">
        <v>0</v>
      </c>
      <c r="AZ52" t="s">
        <v>83</v>
      </c>
      <c r="BA52">
        <v>0.2</v>
      </c>
      <c r="BB52">
        <v>8</v>
      </c>
      <c r="BC52">
        <v>0</v>
      </c>
      <c r="BD52">
        <v>750</v>
      </c>
      <c r="BE52" t="b">
        <v>0</v>
      </c>
      <c r="BF52">
        <v>6</v>
      </c>
      <c r="BG52">
        <v>0</v>
      </c>
      <c r="BH52">
        <v>1</v>
      </c>
      <c r="BI52">
        <v>1</v>
      </c>
      <c r="BJ52">
        <v>16</v>
      </c>
      <c r="BK52" t="s">
        <v>73</v>
      </c>
      <c r="BL52">
        <v>200</v>
      </c>
      <c r="BM52">
        <v>1000</v>
      </c>
      <c r="BN52" t="b">
        <v>0</v>
      </c>
      <c r="BO52" t="s">
        <v>85</v>
      </c>
      <c r="BP52">
        <v>2021</v>
      </c>
      <c r="BQ52" t="s">
        <v>86</v>
      </c>
      <c r="BR52" t="s">
        <v>287</v>
      </c>
    </row>
    <row r="53" spans="1:70">
      <c r="A53" t="s">
        <v>288</v>
      </c>
      <c r="B53" t="s">
        <v>71</v>
      </c>
      <c r="C53" t="s">
        <v>289</v>
      </c>
      <c r="D53" t="s">
        <v>73</v>
      </c>
      <c r="E53" t="s">
        <v>74</v>
      </c>
      <c r="F53">
        <v>56</v>
      </c>
      <c r="G53">
        <v>0.442546073978731</v>
      </c>
      <c r="H53">
        <v>0.432916186729156</v>
      </c>
      <c r="I53">
        <v>0.65</v>
      </c>
      <c r="J53">
        <v>0.66203125</v>
      </c>
      <c r="K53" t="s">
        <v>75</v>
      </c>
      <c r="L53" t="s">
        <v>290</v>
      </c>
      <c r="M53">
        <v>-5.5065</v>
      </c>
      <c r="N53">
        <v>93.75</v>
      </c>
      <c r="O53">
        <f t="shared" si="2"/>
        <v>60</v>
      </c>
      <c r="P53">
        <v>-6.35786666666667</v>
      </c>
      <c r="Q53">
        <f t="shared" si="3"/>
        <v>-381.472</v>
      </c>
      <c r="R53">
        <v>-12.864</v>
      </c>
      <c r="S53">
        <v>100</v>
      </c>
      <c r="T53" t="s">
        <v>77</v>
      </c>
      <c r="U53" t="s">
        <v>78</v>
      </c>
      <c r="V53">
        <v>0</v>
      </c>
      <c r="W53" t="s">
        <v>79</v>
      </c>
      <c r="X53">
        <v>2</v>
      </c>
      <c r="Y53">
        <v>1</v>
      </c>
      <c r="Z53" t="b">
        <v>1</v>
      </c>
      <c r="AA53" t="s">
        <v>80</v>
      </c>
      <c r="AB53" t="s">
        <v>81</v>
      </c>
      <c r="AC53" t="b">
        <v>0</v>
      </c>
      <c r="AD53" t="s">
        <v>82</v>
      </c>
      <c r="AE53">
        <v>8</v>
      </c>
      <c r="AF53">
        <v>1</v>
      </c>
      <c r="AG53">
        <v>8</v>
      </c>
      <c r="AH53">
        <v>80</v>
      </c>
      <c r="AI53">
        <v>20</v>
      </c>
      <c r="AJ53">
        <v>20</v>
      </c>
      <c r="AK53">
        <v>30</v>
      </c>
      <c r="AL53">
        <v>2</v>
      </c>
      <c r="AM53">
        <v>0</v>
      </c>
      <c r="AN53" t="s">
        <v>83</v>
      </c>
      <c r="AO53">
        <v>1</v>
      </c>
      <c r="AP53">
        <v>15</v>
      </c>
      <c r="AQ53">
        <v>750</v>
      </c>
      <c r="AR53" t="s">
        <v>84</v>
      </c>
      <c r="AS53">
        <v>1</v>
      </c>
      <c r="AT53">
        <v>40</v>
      </c>
      <c r="AU53">
        <v>5</v>
      </c>
      <c r="AV53">
        <v>5</v>
      </c>
      <c r="AW53">
        <v>20</v>
      </c>
      <c r="AX53">
        <v>4</v>
      </c>
      <c r="AY53">
        <v>0</v>
      </c>
      <c r="AZ53" t="s">
        <v>83</v>
      </c>
      <c r="BA53">
        <v>0.2</v>
      </c>
      <c r="BB53">
        <v>8</v>
      </c>
      <c r="BC53">
        <v>0</v>
      </c>
      <c r="BD53">
        <v>750</v>
      </c>
      <c r="BE53" t="b">
        <v>0</v>
      </c>
      <c r="BF53">
        <v>6</v>
      </c>
      <c r="BG53">
        <v>0</v>
      </c>
      <c r="BH53">
        <v>1</v>
      </c>
      <c r="BI53">
        <v>1</v>
      </c>
      <c r="BJ53">
        <v>16</v>
      </c>
      <c r="BK53" t="s">
        <v>73</v>
      </c>
      <c r="BL53">
        <v>200</v>
      </c>
      <c r="BM53">
        <v>1000</v>
      </c>
      <c r="BN53" t="b">
        <v>0</v>
      </c>
      <c r="BO53" t="s">
        <v>85</v>
      </c>
      <c r="BP53">
        <v>2021</v>
      </c>
      <c r="BQ53" t="s">
        <v>86</v>
      </c>
      <c r="BR53" t="s">
        <v>291</v>
      </c>
    </row>
    <row r="54" spans="1:70">
      <c r="A54" t="s">
        <v>292</v>
      </c>
      <c r="B54" t="s">
        <v>71</v>
      </c>
      <c r="C54" t="s">
        <v>293</v>
      </c>
      <c r="D54" t="s">
        <v>73</v>
      </c>
      <c r="E54" t="s">
        <v>74</v>
      </c>
      <c r="F54">
        <v>57</v>
      </c>
      <c r="G54">
        <v>0.397164787346916</v>
      </c>
      <c r="H54">
        <v>0.402798132534942</v>
      </c>
      <c r="I54">
        <v>0.62</v>
      </c>
      <c r="J54">
        <v>0.6328125</v>
      </c>
      <c r="K54" t="s">
        <v>75</v>
      </c>
      <c r="L54" t="s">
        <v>294</v>
      </c>
      <c r="M54">
        <v>-8.178</v>
      </c>
      <c r="N54">
        <v>90.625</v>
      </c>
      <c r="O54">
        <f t="shared" si="2"/>
        <v>58</v>
      </c>
      <c r="P54">
        <v>-8.12360344827586</v>
      </c>
      <c r="Q54">
        <f t="shared" si="3"/>
        <v>-471.169</v>
      </c>
      <c r="R54">
        <v>-12.743</v>
      </c>
      <c r="S54">
        <v>100</v>
      </c>
      <c r="T54" t="s">
        <v>77</v>
      </c>
      <c r="U54" t="s">
        <v>78</v>
      </c>
      <c r="V54">
        <v>0</v>
      </c>
      <c r="W54" t="s">
        <v>79</v>
      </c>
      <c r="X54">
        <v>2</v>
      </c>
      <c r="Y54">
        <v>1</v>
      </c>
      <c r="Z54" t="b">
        <v>1</v>
      </c>
      <c r="AA54" t="s">
        <v>80</v>
      </c>
      <c r="AB54" t="s">
        <v>81</v>
      </c>
      <c r="AC54" t="b">
        <v>0</v>
      </c>
      <c r="AD54" t="s">
        <v>82</v>
      </c>
      <c r="AE54">
        <v>8</v>
      </c>
      <c r="AF54">
        <v>1</v>
      </c>
      <c r="AG54">
        <v>8</v>
      </c>
      <c r="AH54">
        <v>80</v>
      </c>
      <c r="AI54">
        <v>20</v>
      </c>
      <c r="AJ54">
        <v>20</v>
      </c>
      <c r="AK54">
        <v>30</v>
      </c>
      <c r="AL54">
        <v>2</v>
      </c>
      <c r="AM54">
        <v>0</v>
      </c>
      <c r="AN54" t="s">
        <v>83</v>
      </c>
      <c r="AO54">
        <v>1</v>
      </c>
      <c r="AP54">
        <v>15</v>
      </c>
      <c r="AQ54">
        <v>750</v>
      </c>
      <c r="AR54" t="s">
        <v>84</v>
      </c>
      <c r="AS54">
        <v>1</v>
      </c>
      <c r="AT54">
        <v>40</v>
      </c>
      <c r="AU54">
        <v>5</v>
      </c>
      <c r="AV54">
        <v>5</v>
      </c>
      <c r="AW54">
        <v>20</v>
      </c>
      <c r="AX54">
        <v>4</v>
      </c>
      <c r="AY54">
        <v>0</v>
      </c>
      <c r="AZ54" t="s">
        <v>83</v>
      </c>
      <c r="BA54">
        <v>0.2</v>
      </c>
      <c r="BB54">
        <v>8</v>
      </c>
      <c r="BC54">
        <v>0</v>
      </c>
      <c r="BD54">
        <v>750</v>
      </c>
      <c r="BE54" t="b">
        <v>0</v>
      </c>
      <c r="BF54">
        <v>6</v>
      </c>
      <c r="BG54">
        <v>0</v>
      </c>
      <c r="BH54">
        <v>1</v>
      </c>
      <c r="BI54">
        <v>1</v>
      </c>
      <c r="BJ54">
        <v>16</v>
      </c>
      <c r="BK54" t="s">
        <v>73</v>
      </c>
      <c r="BL54">
        <v>200</v>
      </c>
      <c r="BM54">
        <v>1000</v>
      </c>
      <c r="BN54" t="b">
        <v>0</v>
      </c>
      <c r="BO54" t="s">
        <v>85</v>
      </c>
      <c r="BP54">
        <v>2021</v>
      </c>
      <c r="BQ54" t="s">
        <v>86</v>
      </c>
      <c r="BR54" t="s">
        <v>295</v>
      </c>
    </row>
    <row r="55" spans="1:70">
      <c r="A55" t="s">
        <v>296</v>
      </c>
      <c r="B55" t="s">
        <v>71</v>
      </c>
      <c r="C55" t="s">
        <v>297</v>
      </c>
      <c r="D55" t="s">
        <v>73</v>
      </c>
      <c r="E55" t="s">
        <v>74</v>
      </c>
      <c r="F55">
        <v>58</v>
      </c>
      <c r="G55">
        <v>0.425761926475425</v>
      </c>
      <c r="H55">
        <v>0.473047392156597</v>
      </c>
      <c r="I55">
        <v>0.57</v>
      </c>
      <c r="J55">
        <v>0.564126984126984</v>
      </c>
      <c r="K55" t="s">
        <v>75</v>
      </c>
      <c r="L55" t="s">
        <v>298</v>
      </c>
      <c r="M55">
        <v>-5.985</v>
      </c>
      <c r="N55">
        <v>79.6875</v>
      </c>
      <c r="O55">
        <f t="shared" si="2"/>
        <v>51</v>
      </c>
      <c r="P55">
        <v>-5.8518431372549</v>
      </c>
      <c r="Q55">
        <f t="shared" si="3"/>
        <v>-298.444</v>
      </c>
      <c r="R55">
        <v>-9.465</v>
      </c>
      <c r="S55">
        <v>100</v>
      </c>
      <c r="T55" t="s">
        <v>77</v>
      </c>
      <c r="U55" t="s">
        <v>78</v>
      </c>
      <c r="V55">
        <v>0</v>
      </c>
      <c r="W55" t="s">
        <v>79</v>
      </c>
      <c r="X55">
        <v>2</v>
      </c>
      <c r="Y55">
        <v>1</v>
      </c>
      <c r="Z55" t="b">
        <v>1</v>
      </c>
      <c r="AA55" t="s">
        <v>80</v>
      </c>
      <c r="AB55" t="s">
        <v>81</v>
      </c>
      <c r="AC55" t="b">
        <v>0</v>
      </c>
      <c r="AD55" t="s">
        <v>82</v>
      </c>
      <c r="AE55">
        <v>8</v>
      </c>
      <c r="AF55">
        <v>1</v>
      </c>
      <c r="AG55">
        <v>8</v>
      </c>
      <c r="AH55">
        <v>80</v>
      </c>
      <c r="AI55">
        <v>20</v>
      </c>
      <c r="AJ55">
        <v>20</v>
      </c>
      <c r="AK55">
        <v>30</v>
      </c>
      <c r="AL55">
        <v>2</v>
      </c>
      <c r="AM55">
        <v>0</v>
      </c>
      <c r="AN55" t="s">
        <v>83</v>
      </c>
      <c r="AO55">
        <v>1</v>
      </c>
      <c r="AP55">
        <v>15</v>
      </c>
      <c r="AQ55">
        <v>750</v>
      </c>
      <c r="AR55" t="s">
        <v>84</v>
      </c>
      <c r="AS55">
        <v>1</v>
      </c>
      <c r="AT55">
        <v>40</v>
      </c>
      <c r="AU55">
        <v>5</v>
      </c>
      <c r="AV55">
        <v>5</v>
      </c>
      <c r="AW55">
        <v>20</v>
      </c>
      <c r="AX55">
        <v>4</v>
      </c>
      <c r="AY55">
        <v>0</v>
      </c>
      <c r="AZ55" t="s">
        <v>83</v>
      </c>
      <c r="BA55">
        <v>0.2</v>
      </c>
      <c r="BB55">
        <v>8</v>
      </c>
      <c r="BC55">
        <v>0</v>
      </c>
      <c r="BD55">
        <v>750</v>
      </c>
      <c r="BE55" t="b">
        <v>0</v>
      </c>
      <c r="BF55">
        <v>6</v>
      </c>
      <c r="BG55">
        <v>0</v>
      </c>
      <c r="BH55">
        <v>1</v>
      </c>
      <c r="BI55">
        <v>1</v>
      </c>
      <c r="BJ55">
        <v>16</v>
      </c>
      <c r="BK55" t="s">
        <v>73</v>
      </c>
      <c r="BL55">
        <v>200</v>
      </c>
      <c r="BM55">
        <v>1000</v>
      </c>
      <c r="BN55" t="b">
        <v>0</v>
      </c>
      <c r="BO55" t="s">
        <v>85</v>
      </c>
      <c r="BP55">
        <v>2021</v>
      </c>
      <c r="BQ55" t="s">
        <v>86</v>
      </c>
      <c r="BR55" t="s">
        <v>299</v>
      </c>
    </row>
    <row r="56" spans="1:70">
      <c r="A56" t="s">
        <v>300</v>
      </c>
      <c r="B56" t="s">
        <v>71</v>
      </c>
      <c r="C56" t="s">
        <v>301</v>
      </c>
      <c r="D56" t="s">
        <v>73</v>
      </c>
      <c r="E56" t="s">
        <v>74</v>
      </c>
      <c r="F56">
        <v>59</v>
      </c>
      <c r="G56">
        <v>0.178702824475893</v>
      </c>
      <c r="H56">
        <v>0.215231518277175</v>
      </c>
      <c r="I56">
        <v>0.54</v>
      </c>
      <c r="J56">
        <v>0.5496875</v>
      </c>
      <c r="K56" t="s">
        <v>75</v>
      </c>
      <c r="L56" t="s">
        <v>302</v>
      </c>
      <c r="M56">
        <v>-10.064</v>
      </c>
      <c r="N56">
        <v>51.5625</v>
      </c>
      <c r="O56">
        <f t="shared" si="2"/>
        <v>33</v>
      </c>
      <c r="P56">
        <v>-10.3654242424242</v>
      </c>
      <c r="Q56">
        <f t="shared" si="3"/>
        <v>-342.059</v>
      </c>
      <c r="R56">
        <v>-14.344</v>
      </c>
      <c r="S56">
        <v>100</v>
      </c>
      <c r="T56" t="s">
        <v>77</v>
      </c>
      <c r="U56" t="s">
        <v>78</v>
      </c>
      <c r="V56">
        <v>0</v>
      </c>
      <c r="W56" t="s">
        <v>79</v>
      </c>
      <c r="X56">
        <v>2</v>
      </c>
      <c r="Y56">
        <v>1</v>
      </c>
      <c r="Z56" t="b">
        <v>1</v>
      </c>
      <c r="AA56" t="s">
        <v>80</v>
      </c>
      <c r="AB56" t="s">
        <v>81</v>
      </c>
      <c r="AC56" t="b">
        <v>0</v>
      </c>
      <c r="AD56" t="s">
        <v>82</v>
      </c>
      <c r="AE56">
        <v>8</v>
      </c>
      <c r="AF56">
        <v>1</v>
      </c>
      <c r="AG56">
        <v>8</v>
      </c>
      <c r="AH56">
        <v>80</v>
      </c>
      <c r="AI56">
        <v>20</v>
      </c>
      <c r="AJ56">
        <v>20</v>
      </c>
      <c r="AK56">
        <v>30</v>
      </c>
      <c r="AL56">
        <v>2</v>
      </c>
      <c r="AM56">
        <v>0</v>
      </c>
      <c r="AN56" t="s">
        <v>83</v>
      </c>
      <c r="AO56">
        <v>1</v>
      </c>
      <c r="AP56">
        <v>15</v>
      </c>
      <c r="AQ56">
        <v>750</v>
      </c>
      <c r="AR56" t="s">
        <v>84</v>
      </c>
      <c r="AS56">
        <v>1</v>
      </c>
      <c r="AT56">
        <v>40</v>
      </c>
      <c r="AU56">
        <v>5</v>
      </c>
      <c r="AV56">
        <v>5</v>
      </c>
      <c r="AW56">
        <v>20</v>
      </c>
      <c r="AX56">
        <v>4</v>
      </c>
      <c r="AY56">
        <v>0</v>
      </c>
      <c r="AZ56" t="s">
        <v>83</v>
      </c>
      <c r="BA56">
        <v>0.2</v>
      </c>
      <c r="BB56">
        <v>8</v>
      </c>
      <c r="BC56">
        <v>0</v>
      </c>
      <c r="BD56">
        <v>750</v>
      </c>
      <c r="BE56" t="b">
        <v>0</v>
      </c>
      <c r="BF56">
        <v>6</v>
      </c>
      <c r="BG56">
        <v>0</v>
      </c>
      <c r="BH56">
        <v>1</v>
      </c>
      <c r="BI56">
        <v>1</v>
      </c>
      <c r="BJ56">
        <v>16</v>
      </c>
      <c r="BK56" t="s">
        <v>73</v>
      </c>
      <c r="BL56">
        <v>200</v>
      </c>
      <c r="BM56">
        <v>1000</v>
      </c>
      <c r="BN56" t="b">
        <v>0</v>
      </c>
      <c r="BO56" t="s">
        <v>85</v>
      </c>
      <c r="BP56">
        <v>2021</v>
      </c>
      <c r="BQ56" t="s">
        <v>86</v>
      </c>
      <c r="BR56" t="s">
        <v>303</v>
      </c>
    </row>
    <row r="57" spans="1:70">
      <c r="A57" t="s">
        <v>304</v>
      </c>
      <c r="B57" t="s">
        <v>71</v>
      </c>
      <c r="C57" t="s">
        <v>305</v>
      </c>
      <c r="D57" t="s">
        <v>73</v>
      </c>
      <c r="E57" t="s">
        <v>74</v>
      </c>
      <c r="F57">
        <v>60</v>
      </c>
      <c r="G57">
        <v>0.111209152563692</v>
      </c>
      <c r="H57">
        <v>0.128426802520596</v>
      </c>
      <c r="I57">
        <v>0.51</v>
      </c>
      <c r="J57">
        <v>0.521639344262295</v>
      </c>
      <c r="K57" t="s">
        <v>75</v>
      </c>
      <c r="L57" t="s">
        <v>306</v>
      </c>
      <c r="M57">
        <v>-9.801</v>
      </c>
      <c r="N57">
        <v>73.4375</v>
      </c>
      <c r="O57">
        <f t="shared" si="2"/>
        <v>47</v>
      </c>
      <c r="P57">
        <v>-9.78789361702128</v>
      </c>
      <c r="Q57">
        <f t="shared" si="3"/>
        <v>-460.031</v>
      </c>
      <c r="R57">
        <v>-13.179</v>
      </c>
      <c r="S57">
        <v>95.3125</v>
      </c>
      <c r="T57" t="s">
        <v>77</v>
      </c>
      <c r="U57" t="s">
        <v>78</v>
      </c>
      <c r="V57">
        <v>0</v>
      </c>
      <c r="W57" t="s">
        <v>79</v>
      </c>
      <c r="X57">
        <v>2</v>
      </c>
      <c r="Y57">
        <v>1</v>
      </c>
      <c r="Z57" t="b">
        <v>1</v>
      </c>
      <c r="AA57" t="s">
        <v>80</v>
      </c>
      <c r="AB57" t="s">
        <v>81</v>
      </c>
      <c r="AC57" t="b">
        <v>0</v>
      </c>
      <c r="AD57" t="s">
        <v>82</v>
      </c>
      <c r="AE57">
        <v>8</v>
      </c>
      <c r="AF57">
        <v>1</v>
      </c>
      <c r="AG57">
        <v>8</v>
      </c>
      <c r="AH57">
        <v>80</v>
      </c>
      <c r="AI57">
        <v>20</v>
      </c>
      <c r="AJ57">
        <v>20</v>
      </c>
      <c r="AK57">
        <v>30</v>
      </c>
      <c r="AL57">
        <v>2</v>
      </c>
      <c r="AM57">
        <v>0</v>
      </c>
      <c r="AN57" t="s">
        <v>83</v>
      </c>
      <c r="AO57">
        <v>1</v>
      </c>
      <c r="AP57">
        <v>15</v>
      </c>
      <c r="AQ57">
        <v>750</v>
      </c>
      <c r="AR57" t="s">
        <v>84</v>
      </c>
      <c r="AS57">
        <v>1</v>
      </c>
      <c r="AT57">
        <v>40</v>
      </c>
      <c r="AU57">
        <v>5</v>
      </c>
      <c r="AV57">
        <v>5</v>
      </c>
      <c r="AW57">
        <v>20</v>
      </c>
      <c r="AX57">
        <v>4</v>
      </c>
      <c r="AY57">
        <v>0</v>
      </c>
      <c r="AZ57" t="s">
        <v>83</v>
      </c>
      <c r="BA57">
        <v>0.2</v>
      </c>
      <c r="BB57">
        <v>8</v>
      </c>
      <c r="BC57">
        <v>0</v>
      </c>
      <c r="BD57">
        <v>750</v>
      </c>
      <c r="BE57" t="b">
        <v>0</v>
      </c>
      <c r="BF57">
        <v>6</v>
      </c>
      <c r="BG57">
        <v>0</v>
      </c>
      <c r="BH57">
        <v>1</v>
      </c>
      <c r="BI57">
        <v>1</v>
      </c>
      <c r="BJ57">
        <v>16</v>
      </c>
      <c r="BK57" t="s">
        <v>73</v>
      </c>
      <c r="BL57">
        <v>200</v>
      </c>
      <c r="BM57">
        <v>1000</v>
      </c>
      <c r="BN57" t="b">
        <v>0</v>
      </c>
      <c r="BO57" t="s">
        <v>85</v>
      </c>
      <c r="BP57">
        <v>2021</v>
      </c>
      <c r="BQ57" t="s">
        <v>86</v>
      </c>
      <c r="BR57" t="s">
        <v>307</v>
      </c>
    </row>
    <row r="58" spans="1:70">
      <c r="A58" t="s">
        <v>308</v>
      </c>
      <c r="B58" t="s">
        <v>71</v>
      </c>
      <c r="C58" t="s">
        <v>309</v>
      </c>
      <c r="D58" t="s">
        <v>73</v>
      </c>
      <c r="E58" t="s">
        <v>74</v>
      </c>
      <c r="F58">
        <v>61</v>
      </c>
      <c r="G58">
        <v>0.499887390798694</v>
      </c>
      <c r="H58">
        <v>0.476139275664648</v>
      </c>
      <c r="I58">
        <v>0.75</v>
      </c>
      <c r="J58">
        <v>0.736031746031746</v>
      </c>
      <c r="K58" t="s">
        <v>75</v>
      </c>
      <c r="L58" t="s">
        <v>310</v>
      </c>
      <c r="M58">
        <v>0.761</v>
      </c>
      <c r="N58">
        <v>48.4375</v>
      </c>
      <c r="O58">
        <f t="shared" si="2"/>
        <v>31</v>
      </c>
      <c r="P58">
        <v>1.42851612903226</v>
      </c>
      <c r="Q58">
        <f t="shared" si="3"/>
        <v>44.284</v>
      </c>
      <c r="R58">
        <v>-5.882</v>
      </c>
      <c r="S58">
        <v>98.4375</v>
      </c>
      <c r="T58" t="s">
        <v>77</v>
      </c>
      <c r="U58" t="s">
        <v>78</v>
      </c>
      <c r="V58">
        <v>0</v>
      </c>
      <c r="W58" t="s">
        <v>79</v>
      </c>
      <c r="X58">
        <v>2</v>
      </c>
      <c r="Y58">
        <v>1</v>
      </c>
      <c r="Z58" t="b">
        <v>1</v>
      </c>
      <c r="AA58" t="s">
        <v>80</v>
      </c>
      <c r="AB58" t="s">
        <v>81</v>
      </c>
      <c r="AC58" t="b">
        <v>0</v>
      </c>
      <c r="AD58" t="s">
        <v>82</v>
      </c>
      <c r="AE58">
        <v>8</v>
      </c>
      <c r="AF58">
        <v>1</v>
      </c>
      <c r="AG58">
        <v>8</v>
      </c>
      <c r="AH58">
        <v>80</v>
      </c>
      <c r="AI58">
        <v>20</v>
      </c>
      <c r="AJ58">
        <v>20</v>
      </c>
      <c r="AK58">
        <v>30</v>
      </c>
      <c r="AL58">
        <v>2</v>
      </c>
      <c r="AM58">
        <v>0</v>
      </c>
      <c r="AN58" t="s">
        <v>83</v>
      </c>
      <c r="AO58">
        <v>1</v>
      </c>
      <c r="AP58">
        <v>15</v>
      </c>
      <c r="AQ58">
        <v>750</v>
      </c>
      <c r="AR58" t="s">
        <v>84</v>
      </c>
      <c r="AS58">
        <v>1</v>
      </c>
      <c r="AT58">
        <v>40</v>
      </c>
      <c r="AU58">
        <v>5</v>
      </c>
      <c r="AV58">
        <v>5</v>
      </c>
      <c r="AW58">
        <v>20</v>
      </c>
      <c r="AX58">
        <v>4</v>
      </c>
      <c r="AY58">
        <v>0</v>
      </c>
      <c r="AZ58" t="s">
        <v>83</v>
      </c>
      <c r="BA58">
        <v>0.2</v>
      </c>
      <c r="BB58">
        <v>8</v>
      </c>
      <c r="BC58">
        <v>0</v>
      </c>
      <c r="BD58">
        <v>750</v>
      </c>
      <c r="BE58" t="b">
        <v>0</v>
      </c>
      <c r="BF58">
        <v>6</v>
      </c>
      <c r="BG58">
        <v>0</v>
      </c>
      <c r="BH58">
        <v>1</v>
      </c>
      <c r="BI58">
        <v>1</v>
      </c>
      <c r="BJ58">
        <v>16</v>
      </c>
      <c r="BK58" t="s">
        <v>73</v>
      </c>
      <c r="BL58">
        <v>200</v>
      </c>
      <c r="BM58">
        <v>1000</v>
      </c>
      <c r="BN58" t="b">
        <v>0</v>
      </c>
      <c r="BO58" t="s">
        <v>85</v>
      </c>
      <c r="BP58">
        <v>2021</v>
      </c>
      <c r="BQ58" t="s">
        <v>86</v>
      </c>
      <c r="BR58" t="s">
        <v>311</v>
      </c>
    </row>
    <row r="59" spans="1:70">
      <c r="A59" t="s">
        <v>312</v>
      </c>
      <c r="B59" t="s">
        <v>71</v>
      </c>
      <c r="C59" t="s">
        <v>313</v>
      </c>
      <c r="D59" t="s">
        <v>73</v>
      </c>
      <c r="E59" t="s">
        <v>74</v>
      </c>
      <c r="F59">
        <v>62</v>
      </c>
      <c r="G59">
        <v>0.577908815190277</v>
      </c>
      <c r="H59">
        <v>0.519514010786407</v>
      </c>
      <c r="I59">
        <v>0.585</v>
      </c>
      <c r="J59">
        <v>0.5909375</v>
      </c>
      <c r="K59" t="s">
        <v>75</v>
      </c>
      <c r="L59" t="s">
        <v>314</v>
      </c>
      <c r="M59">
        <v>-8.629</v>
      </c>
      <c r="N59">
        <v>89.0625</v>
      </c>
      <c r="O59">
        <f t="shared" si="2"/>
        <v>57</v>
      </c>
      <c r="P59">
        <v>-8.52991228070175</v>
      </c>
      <c r="Q59">
        <f t="shared" si="3"/>
        <v>-486.205</v>
      </c>
      <c r="R59">
        <v>-11.826</v>
      </c>
      <c r="S59">
        <v>100</v>
      </c>
      <c r="T59" t="s">
        <v>77</v>
      </c>
      <c r="U59" t="s">
        <v>78</v>
      </c>
      <c r="V59">
        <v>0</v>
      </c>
      <c r="W59" t="s">
        <v>79</v>
      </c>
      <c r="X59">
        <v>2</v>
      </c>
      <c r="Y59">
        <v>1</v>
      </c>
      <c r="Z59" t="b">
        <v>1</v>
      </c>
      <c r="AA59" t="s">
        <v>80</v>
      </c>
      <c r="AB59" t="s">
        <v>81</v>
      </c>
      <c r="AC59" t="b">
        <v>0</v>
      </c>
      <c r="AD59" t="s">
        <v>82</v>
      </c>
      <c r="AE59">
        <v>8</v>
      </c>
      <c r="AF59">
        <v>1</v>
      </c>
      <c r="AG59">
        <v>8</v>
      </c>
      <c r="AH59">
        <v>80</v>
      </c>
      <c r="AI59">
        <v>20</v>
      </c>
      <c r="AJ59">
        <v>20</v>
      </c>
      <c r="AK59">
        <v>30</v>
      </c>
      <c r="AL59">
        <v>2</v>
      </c>
      <c r="AM59">
        <v>0</v>
      </c>
      <c r="AN59" t="s">
        <v>83</v>
      </c>
      <c r="AO59">
        <v>1</v>
      </c>
      <c r="AP59">
        <v>15</v>
      </c>
      <c r="AQ59">
        <v>750</v>
      </c>
      <c r="AR59" t="s">
        <v>84</v>
      </c>
      <c r="AS59">
        <v>1</v>
      </c>
      <c r="AT59">
        <v>40</v>
      </c>
      <c r="AU59">
        <v>5</v>
      </c>
      <c r="AV59">
        <v>5</v>
      </c>
      <c r="AW59">
        <v>20</v>
      </c>
      <c r="AX59">
        <v>4</v>
      </c>
      <c r="AY59">
        <v>0</v>
      </c>
      <c r="AZ59" t="s">
        <v>83</v>
      </c>
      <c r="BA59">
        <v>0.2</v>
      </c>
      <c r="BB59">
        <v>8</v>
      </c>
      <c r="BC59">
        <v>0</v>
      </c>
      <c r="BD59">
        <v>750</v>
      </c>
      <c r="BE59" t="b">
        <v>0</v>
      </c>
      <c r="BF59">
        <v>6</v>
      </c>
      <c r="BG59">
        <v>0</v>
      </c>
      <c r="BH59">
        <v>1</v>
      </c>
      <c r="BI59">
        <v>1</v>
      </c>
      <c r="BJ59">
        <v>16</v>
      </c>
      <c r="BK59" t="s">
        <v>73</v>
      </c>
      <c r="BL59">
        <v>200</v>
      </c>
      <c r="BM59">
        <v>1000</v>
      </c>
      <c r="BN59" t="b">
        <v>0</v>
      </c>
      <c r="BO59" t="s">
        <v>85</v>
      </c>
      <c r="BP59">
        <v>2021</v>
      </c>
      <c r="BQ59" t="s">
        <v>86</v>
      </c>
      <c r="BR59" t="s">
        <v>315</v>
      </c>
    </row>
    <row r="60" spans="1:70">
      <c r="A60" t="s">
        <v>316</v>
      </c>
      <c r="B60" t="s">
        <v>71</v>
      </c>
      <c r="C60" t="s">
        <v>317</v>
      </c>
      <c r="D60" t="s">
        <v>73</v>
      </c>
      <c r="E60" t="s">
        <v>74</v>
      </c>
      <c r="F60">
        <v>63</v>
      </c>
      <c r="G60">
        <v>0.387225888672914</v>
      </c>
      <c r="H60">
        <v>0.389078230818568</v>
      </c>
      <c r="I60">
        <v>0.59</v>
      </c>
      <c r="J60">
        <v>0.61140350877193</v>
      </c>
      <c r="K60" t="s">
        <v>75</v>
      </c>
      <c r="L60" t="s">
        <v>318</v>
      </c>
      <c r="M60">
        <v>-6.232</v>
      </c>
      <c r="N60">
        <v>79.6875</v>
      </c>
      <c r="O60">
        <f t="shared" si="2"/>
        <v>51</v>
      </c>
      <c r="P60">
        <v>-6.091</v>
      </c>
      <c r="Q60">
        <f t="shared" si="3"/>
        <v>-310.641</v>
      </c>
      <c r="R60">
        <v>-8.199</v>
      </c>
      <c r="S60">
        <v>89.0625</v>
      </c>
      <c r="T60" t="s">
        <v>77</v>
      </c>
      <c r="U60" t="s">
        <v>78</v>
      </c>
      <c r="V60">
        <v>0</v>
      </c>
      <c r="W60" t="s">
        <v>79</v>
      </c>
      <c r="X60">
        <v>2</v>
      </c>
      <c r="Y60">
        <v>1</v>
      </c>
      <c r="Z60" t="b">
        <v>1</v>
      </c>
      <c r="AA60" t="s">
        <v>80</v>
      </c>
      <c r="AB60" t="s">
        <v>81</v>
      </c>
      <c r="AC60" t="b">
        <v>0</v>
      </c>
      <c r="AD60" t="s">
        <v>82</v>
      </c>
      <c r="AE60">
        <v>8</v>
      </c>
      <c r="AF60">
        <v>1</v>
      </c>
      <c r="AG60">
        <v>8</v>
      </c>
      <c r="AH60">
        <v>80</v>
      </c>
      <c r="AI60">
        <v>20</v>
      </c>
      <c r="AJ60">
        <v>20</v>
      </c>
      <c r="AK60">
        <v>30</v>
      </c>
      <c r="AL60">
        <v>2</v>
      </c>
      <c r="AM60">
        <v>0</v>
      </c>
      <c r="AN60" t="s">
        <v>83</v>
      </c>
      <c r="AO60">
        <v>1</v>
      </c>
      <c r="AP60">
        <v>15</v>
      </c>
      <c r="AQ60">
        <v>750</v>
      </c>
      <c r="AR60" t="s">
        <v>84</v>
      </c>
      <c r="AS60">
        <v>1</v>
      </c>
      <c r="AT60">
        <v>40</v>
      </c>
      <c r="AU60">
        <v>5</v>
      </c>
      <c r="AV60">
        <v>5</v>
      </c>
      <c r="AW60">
        <v>20</v>
      </c>
      <c r="AX60">
        <v>4</v>
      </c>
      <c r="AY60">
        <v>0</v>
      </c>
      <c r="AZ60" t="s">
        <v>83</v>
      </c>
      <c r="BA60">
        <v>0.2</v>
      </c>
      <c r="BB60">
        <v>8</v>
      </c>
      <c r="BC60">
        <v>0</v>
      </c>
      <c r="BD60">
        <v>750</v>
      </c>
      <c r="BE60" t="b">
        <v>0</v>
      </c>
      <c r="BF60">
        <v>6</v>
      </c>
      <c r="BG60">
        <v>0</v>
      </c>
      <c r="BH60">
        <v>1</v>
      </c>
      <c r="BI60">
        <v>1</v>
      </c>
      <c r="BJ60">
        <v>16</v>
      </c>
      <c r="BK60" t="s">
        <v>73</v>
      </c>
      <c r="BL60">
        <v>200</v>
      </c>
      <c r="BM60">
        <v>1000</v>
      </c>
      <c r="BN60" t="b">
        <v>0</v>
      </c>
      <c r="BO60" t="s">
        <v>85</v>
      </c>
      <c r="BP60">
        <v>2021</v>
      </c>
      <c r="BQ60" t="s">
        <v>86</v>
      </c>
      <c r="BR60" t="s">
        <v>319</v>
      </c>
    </row>
    <row r="61" spans="1:70">
      <c r="A61" t="s">
        <v>320</v>
      </c>
      <c r="B61" t="s">
        <v>71</v>
      </c>
      <c r="C61" t="s">
        <v>321</v>
      </c>
      <c r="D61" t="s">
        <v>73</v>
      </c>
      <c r="E61" t="s">
        <v>74</v>
      </c>
      <c r="F61">
        <v>64</v>
      </c>
      <c r="G61">
        <v>0.528568319653783</v>
      </c>
      <c r="H61">
        <v>0.480790568881493</v>
      </c>
      <c r="I61">
        <v>0.665</v>
      </c>
      <c r="J61">
        <v>0.665</v>
      </c>
      <c r="K61" t="s">
        <v>75</v>
      </c>
      <c r="L61" t="s">
        <v>322</v>
      </c>
      <c r="M61">
        <v>-6.636</v>
      </c>
      <c r="N61">
        <v>90.625</v>
      </c>
      <c r="O61">
        <f t="shared" si="2"/>
        <v>58</v>
      </c>
      <c r="P61">
        <v>-6.8243275862069</v>
      </c>
      <c r="Q61">
        <f t="shared" si="3"/>
        <v>-395.811</v>
      </c>
      <c r="R61">
        <v>-10.281</v>
      </c>
      <c r="S61">
        <v>100</v>
      </c>
      <c r="T61" t="s">
        <v>77</v>
      </c>
      <c r="U61" t="s">
        <v>78</v>
      </c>
      <c r="V61">
        <v>0</v>
      </c>
      <c r="W61" t="s">
        <v>79</v>
      </c>
      <c r="X61">
        <v>2</v>
      </c>
      <c r="Y61">
        <v>1</v>
      </c>
      <c r="Z61" t="b">
        <v>1</v>
      </c>
      <c r="AA61" t="s">
        <v>80</v>
      </c>
      <c r="AB61" t="s">
        <v>81</v>
      </c>
      <c r="AC61" t="b">
        <v>0</v>
      </c>
      <c r="AD61" t="s">
        <v>82</v>
      </c>
      <c r="AE61">
        <v>8</v>
      </c>
      <c r="AF61">
        <v>1</v>
      </c>
      <c r="AG61">
        <v>8</v>
      </c>
      <c r="AH61">
        <v>80</v>
      </c>
      <c r="AI61">
        <v>20</v>
      </c>
      <c r="AJ61">
        <v>20</v>
      </c>
      <c r="AK61">
        <v>30</v>
      </c>
      <c r="AL61">
        <v>2</v>
      </c>
      <c r="AM61">
        <v>0</v>
      </c>
      <c r="AN61" t="s">
        <v>83</v>
      </c>
      <c r="AO61">
        <v>1</v>
      </c>
      <c r="AP61">
        <v>15</v>
      </c>
      <c r="AQ61">
        <v>750</v>
      </c>
      <c r="AR61" t="s">
        <v>84</v>
      </c>
      <c r="AS61">
        <v>1</v>
      </c>
      <c r="AT61">
        <v>40</v>
      </c>
      <c r="AU61">
        <v>5</v>
      </c>
      <c r="AV61">
        <v>5</v>
      </c>
      <c r="AW61">
        <v>20</v>
      </c>
      <c r="AX61">
        <v>4</v>
      </c>
      <c r="AY61">
        <v>0</v>
      </c>
      <c r="AZ61" t="s">
        <v>83</v>
      </c>
      <c r="BA61">
        <v>0.2</v>
      </c>
      <c r="BB61">
        <v>8</v>
      </c>
      <c r="BC61">
        <v>0</v>
      </c>
      <c r="BD61">
        <v>750</v>
      </c>
      <c r="BE61" t="b">
        <v>0</v>
      </c>
      <c r="BF61">
        <v>6</v>
      </c>
      <c r="BG61">
        <v>0</v>
      </c>
      <c r="BH61">
        <v>1</v>
      </c>
      <c r="BI61">
        <v>1</v>
      </c>
      <c r="BJ61">
        <v>16</v>
      </c>
      <c r="BK61" t="s">
        <v>73</v>
      </c>
      <c r="BL61">
        <v>200</v>
      </c>
      <c r="BM61">
        <v>1000</v>
      </c>
      <c r="BN61" t="b">
        <v>0</v>
      </c>
      <c r="BO61" t="s">
        <v>85</v>
      </c>
      <c r="BP61">
        <v>2021</v>
      </c>
      <c r="BQ61" t="s">
        <v>86</v>
      </c>
      <c r="BR61" t="s">
        <v>323</v>
      </c>
    </row>
    <row r="62" spans="1:70">
      <c r="A62" t="s">
        <v>324</v>
      </c>
      <c r="B62" t="s">
        <v>71</v>
      </c>
      <c r="C62" t="s">
        <v>325</v>
      </c>
      <c r="D62" t="s">
        <v>73</v>
      </c>
      <c r="E62" t="s">
        <v>74</v>
      </c>
      <c r="F62">
        <v>65</v>
      </c>
      <c r="G62">
        <v>0.495789978518698</v>
      </c>
      <c r="H62">
        <v>0.503605425148589</v>
      </c>
      <c r="I62">
        <v>0.73</v>
      </c>
      <c r="J62">
        <v>0.741904761904762</v>
      </c>
      <c r="K62" t="s">
        <v>75</v>
      </c>
      <c r="L62" t="s">
        <v>326</v>
      </c>
      <c r="M62">
        <v>-5.262</v>
      </c>
      <c r="N62">
        <v>81.25</v>
      </c>
      <c r="O62">
        <f t="shared" si="2"/>
        <v>52</v>
      </c>
      <c r="P62">
        <v>-5.67142307692308</v>
      </c>
      <c r="Q62">
        <f t="shared" si="3"/>
        <v>-294.914</v>
      </c>
      <c r="R62">
        <v>-11.304</v>
      </c>
      <c r="S62">
        <v>98.4375</v>
      </c>
      <c r="T62" t="s">
        <v>77</v>
      </c>
      <c r="U62" t="s">
        <v>78</v>
      </c>
      <c r="V62">
        <v>0</v>
      </c>
      <c r="W62" t="s">
        <v>79</v>
      </c>
      <c r="X62">
        <v>2</v>
      </c>
      <c r="Y62">
        <v>1</v>
      </c>
      <c r="Z62" t="b">
        <v>1</v>
      </c>
      <c r="AA62" t="s">
        <v>80</v>
      </c>
      <c r="AB62" t="s">
        <v>81</v>
      </c>
      <c r="AC62" t="b">
        <v>0</v>
      </c>
      <c r="AD62" t="s">
        <v>82</v>
      </c>
      <c r="AE62">
        <v>8</v>
      </c>
      <c r="AF62">
        <v>1</v>
      </c>
      <c r="AG62">
        <v>8</v>
      </c>
      <c r="AH62">
        <v>80</v>
      </c>
      <c r="AI62">
        <v>20</v>
      </c>
      <c r="AJ62">
        <v>20</v>
      </c>
      <c r="AK62">
        <v>30</v>
      </c>
      <c r="AL62">
        <v>2</v>
      </c>
      <c r="AM62">
        <v>0</v>
      </c>
      <c r="AN62" t="s">
        <v>83</v>
      </c>
      <c r="AO62">
        <v>1</v>
      </c>
      <c r="AP62">
        <v>15</v>
      </c>
      <c r="AQ62">
        <v>750</v>
      </c>
      <c r="AR62" t="s">
        <v>84</v>
      </c>
      <c r="AS62">
        <v>1</v>
      </c>
      <c r="AT62">
        <v>40</v>
      </c>
      <c r="AU62">
        <v>5</v>
      </c>
      <c r="AV62">
        <v>5</v>
      </c>
      <c r="AW62">
        <v>20</v>
      </c>
      <c r="AX62">
        <v>4</v>
      </c>
      <c r="AY62">
        <v>0</v>
      </c>
      <c r="AZ62" t="s">
        <v>83</v>
      </c>
      <c r="BA62">
        <v>0.2</v>
      </c>
      <c r="BB62">
        <v>8</v>
      </c>
      <c r="BC62">
        <v>0</v>
      </c>
      <c r="BD62">
        <v>750</v>
      </c>
      <c r="BE62" t="b">
        <v>0</v>
      </c>
      <c r="BF62">
        <v>6</v>
      </c>
      <c r="BG62">
        <v>0</v>
      </c>
      <c r="BH62">
        <v>1</v>
      </c>
      <c r="BI62">
        <v>1</v>
      </c>
      <c r="BJ62">
        <v>16</v>
      </c>
      <c r="BK62" t="s">
        <v>73</v>
      </c>
      <c r="BL62">
        <v>200</v>
      </c>
      <c r="BM62">
        <v>1000</v>
      </c>
      <c r="BN62" t="b">
        <v>0</v>
      </c>
      <c r="BO62" t="s">
        <v>85</v>
      </c>
      <c r="BP62">
        <v>2021</v>
      </c>
      <c r="BQ62" t="s">
        <v>86</v>
      </c>
      <c r="BR62" t="s">
        <v>327</v>
      </c>
    </row>
    <row r="63" spans="1:70">
      <c r="A63" t="s">
        <v>328</v>
      </c>
      <c r="B63" t="s">
        <v>71</v>
      </c>
      <c r="C63" t="s">
        <v>329</v>
      </c>
      <c r="D63" t="s">
        <v>73</v>
      </c>
      <c r="E63" t="s">
        <v>74</v>
      </c>
      <c r="F63">
        <v>66</v>
      </c>
      <c r="G63">
        <v>0.560076647689367</v>
      </c>
      <c r="H63">
        <v>0.489188078273776</v>
      </c>
      <c r="I63">
        <v>0.82</v>
      </c>
      <c r="J63">
        <v>0.78515625</v>
      </c>
      <c r="K63" t="s">
        <v>75</v>
      </c>
      <c r="L63" t="s">
        <v>330</v>
      </c>
      <c r="M63">
        <v>-5.223</v>
      </c>
      <c r="N63">
        <v>85.9375</v>
      </c>
      <c r="O63">
        <f t="shared" si="2"/>
        <v>55</v>
      </c>
      <c r="P63">
        <v>-5.62807272727273</v>
      </c>
      <c r="Q63">
        <f t="shared" si="3"/>
        <v>-309.544</v>
      </c>
      <c r="R63">
        <v>-9.118</v>
      </c>
      <c r="S63">
        <v>100</v>
      </c>
      <c r="T63" t="s">
        <v>77</v>
      </c>
      <c r="U63" t="s">
        <v>78</v>
      </c>
      <c r="V63">
        <v>0</v>
      </c>
      <c r="W63" t="s">
        <v>79</v>
      </c>
      <c r="X63">
        <v>2</v>
      </c>
      <c r="Y63">
        <v>1</v>
      </c>
      <c r="Z63" t="b">
        <v>1</v>
      </c>
      <c r="AA63" t="s">
        <v>80</v>
      </c>
      <c r="AB63" t="s">
        <v>81</v>
      </c>
      <c r="AC63" t="b">
        <v>0</v>
      </c>
      <c r="AD63" t="s">
        <v>82</v>
      </c>
      <c r="AE63">
        <v>8</v>
      </c>
      <c r="AF63">
        <v>1</v>
      </c>
      <c r="AG63">
        <v>8</v>
      </c>
      <c r="AH63">
        <v>80</v>
      </c>
      <c r="AI63">
        <v>20</v>
      </c>
      <c r="AJ63">
        <v>20</v>
      </c>
      <c r="AK63">
        <v>30</v>
      </c>
      <c r="AL63">
        <v>2</v>
      </c>
      <c r="AM63">
        <v>0</v>
      </c>
      <c r="AN63" t="s">
        <v>83</v>
      </c>
      <c r="AO63">
        <v>1</v>
      </c>
      <c r="AP63">
        <v>15</v>
      </c>
      <c r="AQ63">
        <v>750</v>
      </c>
      <c r="AR63" t="s">
        <v>84</v>
      </c>
      <c r="AS63">
        <v>1</v>
      </c>
      <c r="AT63">
        <v>40</v>
      </c>
      <c r="AU63">
        <v>5</v>
      </c>
      <c r="AV63">
        <v>5</v>
      </c>
      <c r="AW63">
        <v>20</v>
      </c>
      <c r="AX63">
        <v>4</v>
      </c>
      <c r="AY63">
        <v>0</v>
      </c>
      <c r="AZ63" t="s">
        <v>83</v>
      </c>
      <c r="BA63">
        <v>0.2</v>
      </c>
      <c r="BB63">
        <v>8</v>
      </c>
      <c r="BC63">
        <v>0</v>
      </c>
      <c r="BD63">
        <v>750</v>
      </c>
      <c r="BE63" t="b">
        <v>0</v>
      </c>
      <c r="BF63">
        <v>6</v>
      </c>
      <c r="BG63">
        <v>0</v>
      </c>
      <c r="BH63">
        <v>1</v>
      </c>
      <c r="BI63">
        <v>1</v>
      </c>
      <c r="BJ63">
        <v>16</v>
      </c>
      <c r="BK63" t="s">
        <v>73</v>
      </c>
      <c r="BL63">
        <v>200</v>
      </c>
      <c r="BM63">
        <v>1000</v>
      </c>
      <c r="BN63" t="b">
        <v>0</v>
      </c>
      <c r="BO63" t="s">
        <v>85</v>
      </c>
      <c r="BP63">
        <v>2021</v>
      </c>
      <c r="BQ63" t="s">
        <v>86</v>
      </c>
      <c r="BR63" t="s">
        <v>331</v>
      </c>
    </row>
    <row r="64" spans="1:70">
      <c r="A64" t="s">
        <v>332</v>
      </c>
      <c r="B64" t="s">
        <v>71</v>
      </c>
      <c r="C64" t="s">
        <v>333</v>
      </c>
      <c r="D64" t="s">
        <v>73</v>
      </c>
      <c r="E64" t="s">
        <v>74</v>
      </c>
      <c r="F64">
        <v>67</v>
      </c>
      <c r="G64">
        <v>0.253820245402544</v>
      </c>
      <c r="H64">
        <v>0.283905132362258</v>
      </c>
      <c r="I64">
        <v>0.585</v>
      </c>
      <c r="J64">
        <v>0.59953125</v>
      </c>
      <c r="K64" t="s">
        <v>75</v>
      </c>
      <c r="L64" t="s">
        <v>334</v>
      </c>
      <c r="M64">
        <v>-6.991</v>
      </c>
      <c r="N64">
        <v>76.5625</v>
      </c>
      <c r="O64">
        <f t="shared" si="2"/>
        <v>49</v>
      </c>
      <c r="P64">
        <v>-6.96357142857143</v>
      </c>
      <c r="Q64">
        <f t="shared" si="3"/>
        <v>-341.215</v>
      </c>
      <c r="R64">
        <v>-8.59</v>
      </c>
      <c r="S64">
        <v>100</v>
      </c>
      <c r="T64" t="s">
        <v>77</v>
      </c>
      <c r="U64" t="s">
        <v>78</v>
      </c>
      <c r="V64">
        <v>0</v>
      </c>
      <c r="W64" t="s">
        <v>79</v>
      </c>
      <c r="X64">
        <v>2</v>
      </c>
      <c r="Y64">
        <v>1</v>
      </c>
      <c r="Z64" t="b">
        <v>1</v>
      </c>
      <c r="AA64" t="s">
        <v>80</v>
      </c>
      <c r="AB64" t="s">
        <v>81</v>
      </c>
      <c r="AC64" t="b">
        <v>0</v>
      </c>
      <c r="AD64" t="s">
        <v>82</v>
      </c>
      <c r="AE64">
        <v>8</v>
      </c>
      <c r="AF64">
        <v>1</v>
      </c>
      <c r="AG64">
        <v>8</v>
      </c>
      <c r="AH64">
        <v>80</v>
      </c>
      <c r="AI64">
        <v>20</v>
      </c>
      <c r="AJ64">
        <v>20</v>
      </c>
      <c r="AK64">
        <v>30</v>
      </c>
      <c r="AL64">
        <v>2</v>
      </c>
      <c r="AM64">
        <v>0</v>
      </c>
      <c r="AN64" t="s">
        <v>83</v>
      </c>
      <c r="AO64">
        <v>1</v>
      </c>
      <c r="AP64">
        <v>15</v>
      </c>
      <c r="AQ64">
        <v>750</v>
      </c>
      <c r="AR64" t="s">
        <v>84</v>
      </c>
      <c r="AS64">
        <v>1</v>
      </c>
      <c r="AT64">
        <v>40</v>
      </c>
      <c r="AU64">
        <v>5</v>
      </c>
      <c r="AV64">
        <v>5</v>
      </c>
      <c r="AW64">
        <v>20</v>
      </c>
      <c r="AX64">
        <v>4</v>
      </c>
      <c r="AY64">
        <v>0</v>
      </c>
      <c r="AZ64" t="s">
        <v>83</v>
      </c>
      <c r="BA64">
        <v>0.2</v>
      </c>
      <c r="BB64">
        <v>8</v>
      </c>
      <c r="BC64">
        <v>0</v>
      </c>
      <c r="BD64">
        <v>750</v>
      </c>
      <c r="BE64" t="b">
        <v>0</v>
      </c>
      <c r="BF64">
        <v>6</v>
      </c>
      <c r="BG64">
        <v>0</v>
      </c>
      <c r="BH64">
        <v>1</v>
      </c>
      <c r="BI64">
        <v>1</v>
      </c>
      <c r="BJ64">
        <v>16</v>
      </c>
      <c r="BK64" t="s">
        <v>73</v>
      </c>
      <c r="BL64">
        <v>200</v>
      </c>
      <c r="BM64">
        <v>1000</v>
      </c>
      <c r="BN64" t="b">
        <v>0</v>
      </c>
      <c r="BO64" t="s">
        <v>85</v>
      </c>
      <c r="BP64">
        <v>2021</v>
      </c>
      <c r="BQ64" t="s">
        <v>86</v>
      </c>
      <c r="BR64" t="s">
        <v>335</v>
      </c>
    </row>
    <row r="65" spans="1:70">
      <c r="A65" t="s">
        <v>336</v>
      </c>
      <c r="B65" t="s">
        <v>71</v>
      </c>
      <c r="C65" t="s">
        <v>337</v>
      </c>
      <c r="D65" t="s">
        <v>73</v>
      </c>
      <c r="E65" t="s">
        <v>74</v>
      </c>
      <c r="F65">
        <v>68</v>
      </c>
      <c r="G65">
        <v>0.362483138336721</v>
      </c>
      <c r="H65">
        <v>0.37368414497093</v>
      </c>
      <c r="I65">
        <v>0.56</v>
      </c>
      <c r="J65">
        <v>0.56609375</v>
      </c>
      <c r="K65" t="s">
        <v>75</v>
      </c>
      <c r="L65" t="s">
        <v>338</v>
      </c>
      <c r="M65">
        <v>-9.2035</v>
      </c>
      <c r="N65">
        <v>78.125</v>
      </c>
      <c r="O65">
        <f t="shared" si="2"/>
        <v>50</v>
      </c>
      <c r="P65">
        <v>-9.09892</v>
      </c>
      <c r="Q65">
        <f t="shared" si="3"/>
        <v>-454.946</v>
      </c>
      <c r="R65">
        <v>-11.188</v>
      </c>
      <c r="S65">
        <v>100</v>
      </c>
      <c r="T65" t="s">
        <v>77</v>
      </c>
      <c r="U65" t="s">
        <v>78</v>
      </c>
      <c r="V65">
        <v>0</v>
      </c>
      <c r="W65" t="s">
        <v>79</v>
      </c>
      <c r="X65">
        <v>2</v>
      </c>
      <c r="Y65">
        <v>1</v>
      </c>
      <c r="Z65" t="b">
        <v>1</v>
      </c>
      <c r="AA65" t="s">
        <v>80</v>
      </c>
      <c r="AB65" t="s">
        <v>81</v>
      </c>
      <c r="AC65" t="b">
        <v>0</v>
      </c>
      <c r="AD65" t="s">
        <v>82</v>
      </c>
      <c r="AE65">
        <v>8</v>
      </c>
      <c r="AF65">
        <v>1</v>
      </c>
      <c r="AG65">
        <v>8</v>
      </c>
      <c r="AH65">
        <v>80</v>
      </c>
      <c r="AI65">
        <v>20</v>
      </c>
      <c r="AJ65">
        <v>20</v>
      </c>
      <c r="AK65">
        <v>30</v>
      </c>
      <c r="AL65">
        <v>2</v>
      </c>
      <c r="AM65">
        <v>0</v>
      </c>
      <c r="AN65" t="s">
        <v>83</v>
      </c>
      <c r="AO65">
        <v>1</v>
      </c>
      <c r="AP65">
        <v>15</v>
      </c>
      <c r="AQ65">
        <v>750</v>
      </c>
      <c r="AR65" t="s">
        <v>84</v>
      </c>
      <c r="AS65">
        <v>1</v>
      </c>
      <c r="AT65">
        <v>40</v>
      </c>
      <c r="AU65">
        <v>5</v>
      </c>
      <c r="AV65">
        <v>5</v>
      </c>
      <c r="AW65">
        <v>20</v>
      </c>
      <c r="AX65">
        <v>4</v>
      </c>
      <c r="AY65">
        <v>0</v>
      </c>
      <c r="AZ65" t="s">
        <v>83</v>
      </c>
      <c r="BA65">
        <v>0.2</v>
      </c>
      <c r="BB65">
        <v>8</v>
      </c>
      <c r="BC65">
        <v>0</v>
      </c>
      <c r="BD65">
        <v>750</v>
      </c>
      <c r="BE65" t="b">
        <v>0</v>
      </c>
      <c r="BF65">
        <v>6</v>
      </c>
      <c r="BG65">
        <v>0</v>
      </c>
      <c r="BH65">
        <v>1</v>
      </c>
      <c r="BI65">
        <v>1</v>
      </c>
      <c r="BJ65">
        <v>16</v>
      </c>
      <c r="BK65" t="s">
        <v>73</v>
      </c>
      <c r="BL65">
        <v>200</v>
      </c>
      <c r="BM65">
        <v>1000</v>
      </c>
      <c r="BN65" t="b">
        <v>0</v>
      </c>
      <c r="BO65" t="s">
        <v>85</v>
      </c>
      <c r="BP65">
        <v>2021</v>
      </c>
      <c r="BQ65" t="s">
        <v>86</v>
      </c>
      <c r="BR65" t="s">
        <v>339</v>
      </c>
    </row>
    <row r="66" spans="1:70">
      <c r="A66" t="s">
        <v>340</v>
      </c>
      <c r="B66" t="s">
        <v>71</v>
      </c>
      <c r="C66" t="s">
        <v>341</v>
      </c>
      <c r="D66" t="s">
        <v>73</v>
      </c>
      <c r="E66" t="s">
        <v>74</v>
      </c>
      <c r="F66">
        <v>69</v>
      </c>
      <c r="G66">
        <v>0.488288658234471</v>
      </c>
      <c r="H66">
        <v>0.468227696165011</v>
      </c>
      <c r="I66">
        <v>0.695</v>
      </c>
      <c r="J66">
        <v>0.706875</v>
      </c>
      <c r="K66" t="s">
        <v>75</v>
      </c>
      <c r="L66" t="s">
        <v>342</v>
      </c>
      <c r="M66">
        <v>-5.09</v>
      </c>
      <c r="N66">
        <v>87.5</v>
      </c>
      <c r="O66">
        <f t="shared" si="2"/>
        <v>56</v>
      </c>
      <c r="P66">
        <v>-5.35557142857143</v>
      </c>
      <c r="Q66">
        <f t="shared" si="3"/>
        <v>-299.912</v>
      </c>
      <c r="R66">
        <v>-8.157</v>
      </c>
      <c r="S66">
        <v>100</v>
      </c>
      <c r="T66" t="s">
        <v>77</v>
      </c>
      <c r="U66" t="s">
        <v>78</v>
      </c>
      <c r="V66">
        <v>0</v>
      </c>
      <c r="W66" t="s">
        <v>79</v>
      </c>
      <c r="X66">
        <v>2</v>
      </c>
      <c r="Y66">
        <v>1</v>
      </c>
      <c r="Z66" t="b">
        <v>1</v>
      </c>
      <c r="AA66" t="s">
        <v>80</v>
      </c>
      <c r="AB66" t="s">
        <v>81</v>
      </c>
      <c r="AC66" t="b">
        <v>0</v>
      </c>
      <c r="AD66" t="s">
        <v>82</v>
      </c>
      <c r="AE66">
        <v>8</v>
      </c>
      <c r="AF66">
        <v>1</v>
      </c>
      <c r="AG66">
        <v>8</v>
      </c>
      <c r="AH66">
        <v>80</v>
      </c>
      <c r="AI66">
        <v>20</v>
      </c>
      <c r="AJ66">
        <v>20</v>
      </c>
      <c r="AK66">
        <v>30</v>
      </c>
      <c r="AL66">
        <v>2</v>
      </c>
      <c r="AM66">
        <v>0</v>
      </c>
      <c r="AN66" t="s">
        <v>83</v>
      </c>
      <c r="AO66">
        <v>1</v>
      </c>
      <c r="AP66">
        <v>15</v>
      </c>
      <c r="AQ66">
        <v>750</v>
      </c>
      <c r="AR66" t="s">
        <v>84</v>
      </c>
      <c r="AS66">
        <v>1</v>
      </c>
      <c r="AT66">
        <v>40</v>
      </c>
      <c r="AU66">
        <v>5</v>
      </c>
      <c r="AV66">
        <v>5</v>
      </c>
      <c r="AW66">
        <v>20</v>
      </c>
      <c r="AX66">
        <v>4</v>
      </c>
      <c r="AY66">
        <v>0</v>
      </c>
      <c r="AZ66" t="s">
        <v>83</v>
      </c>
      <c r="BA66">
        <v>0.2</v>
      </c>
      <c r="BB66">
        <v>8</v>
      </c>
      <c r="BC66">
        <v>0</v>
      </c>
      <c r="BD66">
        <v>750</v>
      </c>
      <c r="BE66" t="b">
        <v>0</v>
      </c>
      <c r="BF66">
        <v>6</v>
      </c>
      <c r="BG66">
        <v>0</v>
      </c>
      <c r="BH66">
        <v>1</v>
      </c>
      <c r="BI66">
        <v>1</v>
      </c>
      <c r="BJ66">
        <v>16</v>
      </c>
      <c r="BK66" t="s">
        <v>73</v>
      </c>
      <c r="BL66">
        <v>200</v>
      </c>
      <c r="BM66">
        <v>1000</v>
      </c>
      <c r="BN66" t="b">
        <v>0</v>
      </c>
      <c r="BO66" t="s">
        <v>85</v>
      </c>
      <c r="BP66">
        <v>2021</v>
      </c>
      <c r="BQ66" t="s">
        <v>86</v>
      </c>
      <c r="BR66" t="s">
        <v>343</v>
      </c>
    </row>
    <row r="67" spans="1:70">
      <c r="A67" t="s">
        <v>344</v>
      </c>
      <c r="B67" t="s">
        <v>71</v>
      </c>
      <c r="C67" t="s">
        <v>345</v>
      </c>
      <c r="D67" t="s">
        <v>73</v>
      </c>
      <c r="E67" t="s">
        <v>74</v>
      </c>
      <c r="F67">
        <v>70</v>
      </c>
      <c r="G67">
        <v>0.228102288676628</v>
      </c>
      <c r="H67">
        <v>0.243245093447753</v>
      </c>
      <c r="I67">
        <v>0.55</v>
      </c>
      <c r="J67">
        <v>0.554761904761905</v>
      </c>
      <c r="K67" t="s">
        <v>75</v>
      </c>
      <c r="L67" t="s">
        <v>346</v>
      </c>
      <c r="M67">
        <v>-13.351</v>
      </c>
      <c r="N67">
        <v>42.1875</v>
      </c>
      <c r="O67">
        <f t="shared" ref="O67:O93" si="4">PRODUCT(N67,64)*0.01</f>
        <v>27</v>
      </c>
      <c r="P67">
        <v>-13.826</v>
      </c>
      <c r="Q67">
        <f t="shared" ref="Q67:Q93" si="5">PRODUCT(O67,P67)</f>
        <v>-373.302</v>
      </c>
      <c r="R67">
        <v>-19.997</v>
      </c>
      <c r="S67">
        <v>98.4375</v>
      </c>
      <c r="T67" t="s">
        <v>77</v>
      </c>
      <c r="U67" t="s">
        <v>78</v>
      </c>
      <c r="V67">
        <v>0</v>
      </c>
      <c r="W67" t="s">
        <v>79</v>
      </c>
      <c r="X67">
        <v>2</v>
      </c>
      <c r="Y67">
        <v>1</v>
      </c>
      <c r="Z67" t="b">
        <v>1</v>
      </c>
      <c r="AA67" t="s">
        <v>80</v>
      </c>
      <c r="AB67" t="s">
        <v>81</v>
      </c>
      <c r="AC67" t="b">
        <v>0</v>
      </c>
      <c r="AD67" t="s">
        <v>82</v>
      </c>
      <c r="AE67">
        <v>8</v>
      </c>
      <c r="AF67">
        <v>1</v>
      </c>
      <c r="AG67">
        <v>8</v>
      </c>
      <c r="AH67">
        <v>80</v>
      </c>
      <c r="AI67">
        <v>20</v>
      </c>
      <c r="AJ67">
        <v>20</v>
      </c>
      <c r="AK67">
        <v>30</v>
      </c>
      <c r="AL67">
        <v>2</v>
      </c>
      <c r="AM67">
        <v>0</v>
      </c>
      <c r="AN67" t="s">
        <v>83</v>
      </c>
      <c r="AO67">
        <v>1</v>
      </c>
      <c r="AP67">
        <v>15</v>
      </c>
      <c r="AQ67">
        <v>750</v>
      </c>
      <c r="AR67" t="s">
        <v>84</v>
      </c>
      <c r="AS67">
        <v>1</v>
      </c>
      <c r="AT67">
        <v>40</v>
      </c>
      <c r="AU67">
        <v>5</v>
      </c>
      <c r="AV67">
        <v>5</v>
      </c>
      <c r="AW67">
        <v>20</v>
      </c>
      <c r="AX67">
        <v>4</v>
      </c>
      <c r="AY67">
        <v>0</v>
      </c>
      <c r="AZ67" t="s">
        <v>83</v>
      </c>
      <c r="BA67">
        <v>0.2</v>
      </c>
      <c r="BB67">
        <v>8</v>
      </c>
      <c r="BC67">
        <v>0</v>
      </c>
      <c r="BD67">
        <v>750</v>
      </c>
      <c r="BE67" t="b">
        <v>0</v>
      </c>
      <c r="BF67">
        <v>6</v>
      </c>
      <c r="BG67">
        <v>0</v>
      </c>
      <c r="BH67">
        <v>1</v>
      </c>
      <c r="BI67">
        <v>1</v>
      </c>
      <c r="BJ67">
        <v>16</v>
      </c>
      <c r="BK67" t="s">
        <v>73</v>
      </c>
      <c r="BL67">
        <v>200</v>
      </c>
      <c r="BM67">
        <v>1000</v>
      </c>
      <c r="BN67" t="b">
        <v>0</v>
      </c>
      <c r="BO67" t="s">
        <v>85</v>
      </c>
      <c r="BP67">
        <v>2021</v>
      </c>
      <c r="BQ67" t="s">
        <v>86</v>
      </c>
      <c r="BR67" t="s">
        <v>347</v>
      </c>
    </row>
    <row r="68" spans="1:70">
      <c r="A68" t="s">
        <v>348</v>
      </c>
      <c r="B68" t="s">
        <v>71</v>
      </c>
      <c r="C68" t="s">
        <v>349</v>
      </c>
      <c r="D68" t="s">
        <v>73</v>
      </c>
      <c r="E68" t="s">
        <v>74</v>
      </c>
      <c r="F68">
        <v>71</v>
      </c>
      <c r="G68">
        <v>0.503857273461517</v>
      </c>
      <c r="H68">
        <v>0.477025249903649</v>
      </c>
      <c r="I68">
        <v>0.68</v>
      </c>
      <c r="J68">
        <v>0.68171875</v>
      </c>
      <c r="K68" t="s">
        <v>75</v>
      </c>
      <c r="L68" t="s">
        <v>350</v>
      </c>
      <c r="M68">
        <v>-4.1425</v>
      </c>
      <c r="N68">
        <v>87.5</v>
      </c>
      <c r="O68">
        <f t="shared" si="4"/>
        <v>56</v>
      </c>
      <c r="P68">
        <v>-4.342875</v>
      </c>
      <c r="Q68">
        <f t="shared" si="5"/>
        <v>-243.201</v>
      </c>
      <c r="R68">
        <v>-6.369</v>
      </c>
      <c r="S68">
        <v>100</v>
      </c>
      <c r="T68" t="s">
        <v>77</v>
      </c>
      <c r="U68" t="s">
        <v>78</v>
      </c>
      <c r="V68">
        <v>0</v>
      </c>
      <c r="W68" t="s">
        <v>79</v>
      </c>
      <c r="X68">
        <v>2</v>
      </c>
      <c r="Y68">
        <v>1</v>
      </c>
      <c r="Z68" t="b">
        <v>1</v>
      </c>
      <c r="AA68" t="s">
        <v>80</v>
      </c>
      <c r="AB68" t="s">
        <v>81</v>
      </c>
      <c r="AC68" t="b">
        <v>0</v>
      </c>
      <c r="AD68" t="s">
        <v>82</v>
      </c>
      <c r="AE68">
        <v>8</v>
      </c>
      <c r="AF68">
        <v>1</v>
      </c>
      <c r="AG68">
        <v>8</v>
      </c>
      <c r="AH68">
        <v>80</v>
      </c>
      <c r="AI68">
        <v>20</v>
      </c>
      <c r="AJ68">
        <v>20</v>
      </c>
      <c r="AK68">
        <v>30</v>
      </c>
      <c r="AL68">
        <v>2</v>
      </c>
      <c r="AM68">
        <v>0</v>
      </c>
      <c r="AN68" t="s">
        <v>83</v>
      </c>
      <c r="AO68">
        <v>1</v>
      </c>
      <c r="AP68">
        <v>15</v>
      </c>
      <c r="AQ68">
        <v>750</v>
      </c>
      <c r="AR68" t="s">
        <v>84</v>
      </c>
      <c r="AS68">
        <v>1</v>
      </c>
      <c r="AT68">
        <v>40</v>
      </c>
      <c r="AU68">
        <v>5</v>
      </c>
      <c r="AV68">
        <v>5</v>
      </c>
      <c r="AW68">
        <v>20</v>
      </c>
      <c r="AX68">
        <v>4</v>
      </c>
      <c r="AY68">
        <v>0</v>
      </c>
      <c r="AZ68" t="s">
        <v>83</v>
      </c>
      <c r="BA68">
        <v>0.2</v>
      </c>
      <c r="BB68">
        <v>8</v>
      </c>
      <c r="BC68">
        <v>0</v>
      </c>
      <c r="BD68">
        <v>750</v>
      </c>
      <c r="BE68" t="b">
        <v>0</v>
      </c>
      <c r="BF68">
        <v>6</v>
      </c>
      <c r="BG68">
        <v>0</v>
      </c>
      <c r="BH68">
        <v>1</v>
      </c>
      <c r="BI68">
        <v>1</v>
      </c>
      <c r="BJ68">
        <v>16</v>
      </c>
      <c r="BK68" t="s">
        <v>73</v>
      </c>
      <c r="BL68">
        <v>200</v>
      </c>
      <c r="BM68">
        <v>1000</v>
      </c>
      <c r="BN68" t="b">
        <v>0</v>
      </c>
      <c r="BO68" t="s">
        <v>85</v>
      </c>
      <c r="BP68">
        <v>2021</v>
      </c>
      <c r="BQ68" t="s">
        <v>86</v>
      </c>
      <c r="BR68" t="s">
        <v>351</v>
      </c>
    </row>
    <row r="69" spans="1:70">
      <c r="A69" t="s">
        <v>352</v>
      </c>
      <c r="B69" t="s">
        <v>71</v>
      </c>
      <c r="C69" t="s">
        <v>353</v>
      </c>
      <c r="D69" t="s">
        <v>73</v>
      </c>
      <c r="E69" t="s">
        <v>74</v>
      </c>
      <c r="F69">
        <v>72</v>
      </c>
      <c r="G69">
        <v>0.27193982539215</v>
      </c>
      <c r="H69">
        <v>0.326300426491361</v>
      </c>
      <c r="I69">
        <v>0.51</v>
      </c>
      <c r="J69">
        <v>0.524262295081967</v>
      </c>
      <c r="K69" t="s">
        <v>75</v>
      </c>
      <c r="L69" t="s">
        <v>354</v>
      </c>
      <c r="M69">
        <v>-14.2045</v>
      </c>
      <c r="N69">
        <v>59.375</v>
      </c>
      <c r="O69">
        <f t="shared" si="4"/>
        <v>38</v>
      </c>
      <c r="P69">
        <v>-13.9921842105263</v>
      </c>
      <c r="Q69">
        <f t="shared" si="5"/>
        <v>-531.703</v>
      </c>
      <c r="R69">
        <v>-18.718</v>
      </c>
      <c r="S69">
        <v>95.3125</v>
      </c>
      <c r="T69" t="s">
        <v>77</v>
      </c>
      <c r="U69" t="s">
        <v>78</v>
      </c>
      <c r="V69">
        <v>0</v>
      </c>
      <c r="W69" t="s">
        <v>79</v>
      </c>
      <c r="X69">
        <v>2</v>
      </c>
      <c r="Y69">
        <v>1</v>
      </c>
      <c r="Z69" t="b">
        <v>1</v>
      </c>
      <c r="AA69" t="s">
        <v>80</v>
      </c>
      <c r="AB69" t="s">
        <v>81</v>
      </c>
      <c r="AC69" t="b">
        <v>0</v>
      </c>
      <c r="AD69" t="s">
        <v>82</v>
      </c>
      <c r="AE69">
        <v>8</v>
      </c>
      <c r="AF69">
        <v>1</v>
      </c>
      <c r="AG69">
        <v>8</v>
      </c>
      <c r="AH69">
        <v>80</v>
      </c>
      <c r="AI69">
        <v>20</v>
      </c>
      <c r="AJ69">
        <v>20</v>
      </c>
      <c r="AK69">
        <v>30</v>
      </c>
      <c r="AL69">
        <v>2</v>
      </c>
      <c r="AM69">
        <v>0</v>
      </c>
      <c r="AN69" t="s">
        <v>83</v>
      </c>
      <c r="AO69">
        <v>1</v>
      </c>
      <c r="AP69">
        <v>15</v>
      </c>
      <c r="AQ69">
        <v>750</v>
      </c>
      <c r="AR69" t="s">
        <v>84</v>
      </c>
      <c r="AS69">
        <v>1</v>
      </c>
      <c r="AT69">
        <v>40</v>
      </c>
      <c r="AU69">
        <v>5</v>
      </c>
      <c r="AV69">
        <v>5</v>
      </c>
      <c r="AW69">
        <v>20</v>
      </c>
      <c r="AX69">
        <v>4</v>
      </c>
      <c r="AY69">
        <v>0</v>
      </c>
      <c r="AZ69" t="s">
        <v>83</v>
      </c>
      <c r="BA69">
        <v>0.2</v>
      </c>
      <c r="BB69">
        <v>8</v>
      </c>
      <c r="BC69">
        <v>0</v>
      </c>
      <c r="BD69">
        <v>750</v>
      </c>
      <c r="BE69" t="b">
        <v>0</v>
      </c>
      <c r="BF69">
        <v>6</v>
      </c>
      <c r="BG69">
        <v>0</v>
      </c>
      <c r="BH69">
        <v>1</v>
      </c>
      <c r="BI69">
        <v>1</v>
      </c>
      <c r="BJ69">
        <v>16</v>
      </c>
      <c r="BK69" t="s">
        <v>73</v>
      </c>
      <c r="BL69">
        <v>200</v>
      </c>
      <c r="BM69">
        <v>1000</v>
      </c>
      <c r="BN69" t="b">
        <v>0</v>
      </c>
      <c r="BO69" t="s">
        <v>85</v>
      </c>
      <c r="BP69">
        <v>2021</v>
      </c>
      <c r="BQ69" t="s">
        <v>86</v>
      </c>
      <c r="BR69" t="s">
        <v>355</v>
      </c>
    </row>
    <row r="70" spans="1:70">
      <c r="A70" t="s">
        <v>356</v>
      </c>
      <c r="B70" t="s">
        <v>71</v>
      </c>
      <c r="C70" t="s">
        <v>357</v>
      </c>
      <c r="D70" t="s">
        <v>73</v>
      </c>
      <c r="E70" t="s">
        <v>74</v>
      </c>
      <c r="F70">
        <v>73</v>
      </c>
      <c r="G70">
        <v>0.519405521282332</v>
      </c>
      <c r="H70">
        <v>0.509739240138055</v>
      </c>
      <c r="I70">
        <v>0.61</v>
      </c>
      <c r="J70">
        <v>0.63031746031746</v>
      </c>
      <c r="K70" t="s">
        <v>75</v>
      </c>
      <c r="L70" t="s">
        <v>358</v>
      </c>
      <c r="M70">
        <v>-9.347</v>
      </c>
      <c r="N70">
        <v>60.9375</v>
      </c>
      <c r="O70">
        <f t="shared" si="4"/>
        <v>39</v>
      </c>
      <c r="P70">
        <v>-9.45361538461539</v>
      </c>
      <c r="Q70">
        <f t="shared" si="5"/>
        <v>-368.691</v>
      </c>
      <c r="R70">
        <v>-12.252</v>
      </c>
      <c r="S70">
        <v>98.4375</v>
      </c>
      <c r="T70" t="s">
        <v>77</v>
      </c>
      <c r="U70" t="s">
        <v>78</v>
      </c>
      <c r="V70">
        <v>0</v>
      </c>
      <c r="W70" t="s">
        <v>79</v>
      </c>
      <c r="X70">
        <v>2</v>
      </c>
      <c r="Y70">
        <v>1</v>
      </c>
      <c r="Z70" t="b">
        <v>1</v>
      </c>
      <c r="AA70" t="s">
        <v>80</v>
      </c>
      <c r="AB70" t="s">
        <v>81</v>
      </c>
      <c r="AC70" t="b">
        <v>0</v>
      </c>
      <c r="AD70" t="s">
        <v>82</v>
      </c>
      <c r="AE70">
        <v>8</v>
      </c>
      <c r="AF70">
        <v>1</v>
      </c>
      <c r="AG70">
        <v>8</v>
      </c>
      <c r="AH70">
        <v>80</v>
      </c>
      <c r="AI70">
        <v>20</v>
      </c>
      <c r="AJ70">
        <v>20</v>
      </c>
      <c r="AK70">
        <v>30</v>
      </c>
      <c r="AL70">
        <v>2</v>
      </c>
      <c r="AM70">
        <v>0</v>
      </c>
      <c r="AN70" t="s">
        <v>83</v>
      </c>
      <c r="AO70">
        <v>1</v>
      </c>
      <c r="AP70">
        <v>15</v>
      </c>
      <c r="AQ70">
        <v>750</v>
      </c>
      <c r="AR70" t="s">
        <v>84</v>
      </c>
      <c r="AS70">
        <v>1</v>
      </c>
      <c r="AT70">
        <v>40</v>
      </c>
      <c r="AU70">
        <v>5</v>
      </c>
      <c r="AV70">
        <v>5</v>
      </c>
      <c r="AW70">
        <v>20</v>
      </c>
      <c r="AX70">
        <v>4</v>
      </c>
      <c r="AY70">
        <v>0</v>
      </c>
      <c r="AZ70" t="s">
        <v>83</v>
      </c>
      <c r="BA70">
        <v>0.2</v>
      </c>
      <c r="BB70">
        <v>8</v>
      </c>
      <c r="BC70">
        <v>0</v>
      </c>
      <c r="BD70">
        <v>750</v>
      </c>
      <c r="BE70" t="b">
        <v>0</v>
      </c>
      <c r="BF70">
        <v>6</v>
      </c>
      <c r="BG70">
        <v>0</v>
      </c>
      <c r="BH70">
        <v>1</v>
      </c>
      <c r="BI70">
        <v>1</v>
      </c>
      <c r="BJ70">
        <v>16</v>
      </c>
      <c r="BK70" t="s">
        <v>73</v>
      </c>
      <c r="BL70">
        <v>200</v>
      </c>
      <c r="BM70">
        <v>1000</v>
      </c>
      <c r="BN70" t="b">
        <v>0</v>
      </c>
      <c r="BO70" t="s">
        <v>85</v>
      </c>
      <c r="BP70">
        <v>2021</v>
      </c>
      <c r="BQ70" t="s">
        <v>86</v>
      </c>
      <c r="BR70" t="s">
        <v>359</v>
      </c>
    </row>
    <row r="71" spans="1:70">
      <c r="A71" t="s">
        <v>360</v>
      </c>
      <c r="B71" t="s">
        <v>71</v>
      </c>
      <c r="C71" t="s">
        <v>361</v>
      </c>
      <c r="D71" t="s">
        <v>73</v>
      </c>
      <c r="E71" t="s">
        <v>74</v>
      </c>
      <c r="F71">
        <v>74</v>
      </c>
      <c r="G71">
        <v>0.60206445852468</v>
      </c>
      <c r="H71">
        <v>0.567688273315689</v>
      </c>
      <c r="I71">
        <v>0.68</v>
      </c>
      <c r="J71">
        <v>0.706875</v>
      </c>
      <c r="K71" t="s">
        <v>75</v>
      </c>
      <c r="L71" t="s">
        <v>362</v>
      </c>
      <c r="M71">
        <v>-8.703</v>
      </c>
      <c r="N71">
        <v>96.875</v>
      </c>
      <c r="O71">
        <f t="shared" si="4"/>
        <v>62</v>
      </c>
      <c r="P71">
        <v>-8.62838709677419</v>
      </c>
      <c r="Q71">
        <f t="shared" si="5"/>
        <v>-534.96</v>
      </c>
      <c r="R71">
        <v>-12.835</v>
      </c>
      <c r="S71">
        <v>100</v>
      </c>
      <c r="T71" t="s">
        <v>77</v>
      </c>
      <c r="U71" t="s">
        <v>78</v>
      </c>
      <c r="V71">
        <v>0</v>
      </c>
      <c r="W71" t="s">
        <v>79</v>
      </c>
      <c r="X71">
        <v>2</v>
      </c>
      <c r="Y71">
        <v>1</v>
      </c>
      <c r="Z71" t="b">
        <v>1</v>
      </c>
      <c r="AA71" t="s">
        <v>80</v>
      </c>
      <c r="AB71" t="s">
        <v>81</v>
      </c>
      <c r="AC71" t="b">
        <v>0</v>
      </c>
      <c r="AD71" t="s">
        <v>82</v>
      </c>
      <c r="AE71">
        <v>8</v>
      </c>
      <c r="AF71">
        <v>1</v>
      </c>
      <c r="AG71">
        <v>8</v>
      </c>
      <c r="AH71">
        <v>80</v>
      </c>
      <c r="AI71">
        <v>20</v>
      </c>
      <c r="AJ71">
        <v>20</v>
      </c>
      <c r="AK71">
        <v>30</v>
      </c>
      <c r="AL71">
        <v>2</v>
      </c>
      <c r="AM71">
        <v>0</v>
      </c>
      <c r="AN71" t="s">
        <v>83</v>
      </c>
      <c r="AO71">
        <v>1</v>
      </c>
      <c r="AP71">
        <v>15</v>
      </c>
      <c r="AQ71">
        <v>750</v>
      </c>
      <c r="AR71" t="s">
        <v>84</v>
      </c>
      <c r="AS71">
        <v>1</v>
      </c>
      <c r="AT71">
        <v>40</v>
      </c>
      <c r="AU71">
        <v>5</v>
      </c>
      <c r="AV71">
        <v>5</v>
      </c>
      <c r="AW71">
        <v>20</v>
      </c>
      <c r="AX71">
        <v>4</v>
      </c>
      <c r="AY71">
        <v>0</v>
      </c>
      <c r="AZ71" t="s">
        <v>83</v>
      </c>
      <c r="BA71">
        <v>0.2</v>
      </c>
      <c r="BB71">
        <v>8</v>
      </c>
      <c r="BC71">
        <v>0</v>
      </c>
      <c r="BD71">
        <v>750</v>
      </c>
      <c r="BE71" t="b">
        <v>0</v>
      </c>
      <c r="BF71">
        <v>6</v>
      </c>
      <c r="BG71">
        <v>0</v>
      </c>
      <c r="BH71">
        <v>1</v>
      </c>
      <c r="BI71">
        <v>1</v>
      </c>
      <c r="BJ71">
        <v>16</v>
      </c>
      <c r="BK71" t="s">
        <v>73</v>
      </c>
      <c r="BL71">
        <v>200</v>
      </c>
      <c r="BM71">
        <v>1000</v>
      </c>
      <c r="BN71" t="b">
        <v>0</v>
      </c>
      <c r="BO71" t="s">
        <v>85</v>
      </c>
      <c r="BP71">
        <v>2021</v>
      </c>
      <c r="BQ71" t="s">
        <v>86</v>
      </c>
      <c r="BR71" t="s">
        <v>363</v>
      </c>
    </row>
    <row r="72" spans="1:70">
      <c r="A72" t="s">
        <v>364</v>
      </c>
      <c r="B72" t="s">
        <v>71</v>
      </c>
      <c r="C72" t="s">
        <v>365</v>
      </c>
      <c r="D72" t="s">
        <v>73</v>
      </c>
      <c r="E72" t="s">
        <v>74</v>
      </c>
      <c r="F72">
        <v>76</v>
      </c>
      <c r="G72">
        <v>0.535486909491183</v>
      </c>
      <c r="H72">
        <v>0.509064967310339</v>
      </c>
      <c r="I72">
        <v>0.58</v>
      </c>
      <c r="J72">
        <v>0.588412698412698</v>
      </c>
      <c r="K72" t="s">
        <v>75</v>
      </c>
      <c r="L72" t="s">
        <v>366</v>
      </c>
      <c r="M72">
        <v>-9.231</v>
      </c>
      <c r="N72">
        <v>82.8125</v>
      </c>
      <c r="O72">
        <f t="shared" si="4"/>
        <v>53</v>
      </c>
      <c r="P72">
        <v>-9.22616981132076</v>
      </c>
      <c r="Q72">
        <f t="shared" si="5"/>
        <v>-488.987</v>
      </c>
      <c r="R72">
        <v>-12.326</v>
      </c>
      <c r="S72">
        <v>98.4375</v>
      </c>
      <c r="T72" t="s">
        <v>77</v>
      </c>
      <c r="U72" t="s">
        <v>78</v>
      </c>
      <c r="V72">
        <v>0</v>
      </c>
      <c r="W72" t="s">
        <v>79</v>
      </c>
      <c r="X72">
        <v>2</v>
      </c>
      <c r="Y72">
        <v>1</v>
      </c>
      <c r="Z72" t="b">
        <v>1</v>
      </c>
      <c r="AA72" t="s">
        <v>80</v>
      </c>
      <c r="AB72" t="s">
        <v>81</v>
      </c>
      <c r="AC72" t="b">
        <v>0</v>
      </c>
      <c r="AD72" t="s">
        <v>82</v>
      </c>
      <c r="AE72">
        <v>8</v>
      </c>
      <c r="AF72">
        <v>1</v>
      </c>
      <c r="AG72">
        <v>8</v>
      </c>
      <c r="AH72">
        <v>80</v>
      </c>
      <c r="AI72">
        <v>20</v>
      </c>
      <c r="AJ72">
        <v>20</v>
      </c>
      <c r="AK72">
        <v>30</v>
      </c>
      <c r="AL72">
        <v>2</v>
      </c>
      <c r="AM72">
        <v>0</v>
      </c>
      <c r="AN72" t="s">
        <v>83</v>
      </c>
      <c r="AO72">
        <v>1</v>
      </c>
      <c r="AP72">
        <v>15</v>
      </c>
      <c r="AQ72">
        <v>750</v>
      </c>
      <c r="AR72" t="s">
        <v>84</v>
      </c>
      <c r="AS72">
        <v>1</v>
      </c>
      <c r="AT72">
        <v>40</v>
      </c>
      <c r="AU72">
        <v>5</v>
      </c>
      <c r="AV72">
        <v>5</v>
      </c>
      <c r="AW72">
        <v>20</v>
      </c>
      <c r="AX72">
        <v>4</v>
      </c>
      <c r="AY72">
        <v>0</v>
      </c>
      <c r="AZ72" t="s">
        <v>83</v>
      </c>
      <c r="BA72">
        <v>0.2</v>
      </c>
      <c r="BB72">
        <v>8</v>
      </c>
      <c r="BC72">
        <v>0</v>
      </c>
      <c r="BD72">
        <v>750</v>
      </c>
      <c r="BE72" t="b">
        <v>0</v>
      </c>
      <c r="BF72">
        <v>6</v>
      </c>
      <c r="BG72">
        <v>0</v>
      </c>
      <c r="BH72">
        <v>1</v>
      </c>
      <c r="BI72">
        <v>1</v>
      </c>
      <c r="BJ72">
        <v>16</v>
      </c>
      <c r="BK72" t="s">
        <v>73</v>
      </c>
      <c r="BL72">
        <v>200</v>
      </c>
      <c r="BM72">
        <v>1000</v>
      </c>
      <c r="BN72" t="b">
        <v>0</v>
      </c>
      <c r="BO72" t="s">
        <v>85</v>
      </c>
      <c r="BP72">
        <v>2021</v>
      </c>
      <c r="BQ72" t="s">
        <v>86</v>
      </c>
      <c r="BR72" t="s">
        <v>367</v>
      </c>
    </row>
    <row r="73" spans="1:70">
      <c r="A73" t="s">
        <v>368</v>
      </c>
      <c r="B73" t="s">
        <v>71</v>
      </c>
      <c r="C73" t="s">
        <v>369</v>
      </c>
      <c r="D73" t="s">
        <v>73</v>
      </c>
      <c r="E73" t="s">
        <v>74</v>
      </c>
      <c r="F73">
        <v>77</v>
      </c>
      <c r="G73">
        <v>0.592885931544863</v>
      </c>
      <c r="H73">
        <v>0.561029272779055</v>
      </c>
      <c r="I73">
        <v>0.75</v>
      </c>
      <c r="J73">
        <v>0.75484375</v>
      </c>
      <c r="K73" t="s">
        <v>75</v>
      </c>
      <c r="L73" t="s">
        <v>370</v>
      </c>
      <c r="M73">
        <v>-5.461</v>
      </c>
      <c r="N73">
        <v>92.1875</v>
      </c>
      <c r="O73">
        <f t="shared" si="4"/>
        <v>59</v>
      </c>
      <c r="P73">
        <v>-6.06861016949152</v>
      </c>
      <c r="Q73">
        <f t="shared" si="5"/>
        <v>-358.048</v>
      </c>
      <c r="R73">
        <v>-11.407</v>
      </c>
      <c r="S73">
        <v>100</v>
      </c>
      <c r="T73" t="s">
        <v>77</v>
      </c>
      <c r="U73" t="s">
        <v>78</v>
      </c>
      <c r="V73">
        <v>0</v>
      </c>
      <c r="W73" t="s">
        <v>79</v>
      </c>
      <c r="X73">
        <v>2</v>
      </c>
      <c r="Y73">
        <v>1</v>
      </c>
      <c r="Z73" t="b">
        <v>1</v>
      </c>
      <c r="AA73" t="s">
        <v>80</v>
      </c>
      <c r="AB73" t="s">
        <v>81</v>
      </c>
      <c r="AC73" t="b">
        <v>0</v>
      </c>
      <c r="AD73" t="s">
        <v>82</v>
      </c>
      <c r="AE73">
        <v>8</v>
      </c>
      <c r="AF73">
        <v>1</v>
      </c>
      <c r="AG73">
        <v>8</v>
      </c>
      <c r="AH73">
        <v>80</v>
      </c>
      <c r="AI73">
        <v>20</v>
      </c>
      <c r="AJ73">
        <v>20</v>
      </c>
      <c r="AK73">
        <v>30</v>
      </c>
      <c r="AL73">
        <v>2</v>
      </c>
      <c r="AM73">
        <v>0</v>
      </c>
      <c r="AN73" t="s">
        <v>83</v>
      </c>
      <c r="AO73">
        <v>1</v>
      </c>
      <c r="AP73">
        <v>15</v>
      </c>
      <c r="AQ73">
        <v>750</v>
      </c>
      <c r="AR73" t="s">
        <v>84</v>
      </c>
      <c r="AS73">
        <v>1</v>
      </c>
      <c r="AT73">
        <v>40</v>
      </c>
      <c r="AU73">
        <v>5</v>
      </c>
      <c r="AV73">
        <v>5</v>
      </c>
      <c r="AW73">
        <v>20</v>
      </c>
      <c r="AX73">
        <v>4</v>
      </c>
      <c r="AY73">
        <v>0</v>
      </c>
      <c r="AZ73" t="s">
        <v>83</v>
      </c>
      <c r="BA73">
        <v>0.2</v>
      </c>
      <c r="BB73">
        <v>8</v>
      </c>
      <c r="BC73">
        <v>0</v>
      </c>
      <c r="BD73">
        <v>750</v>
      </c>
      <c r="BE73" t="b">
        <v>0</v>
      </c>
      <c r="BF73">
        <v>6</v>
      </c>
      <c r="BG73">
        <v>0</v>
      </c>
      <c r="BH73">
        <v>1</v>
      </c>
      <c r="BI73">
        <v>1</v>
      </c>
      <c r="BJ73">
        <v>16</v>
      </c>
      <c r="BK73" t="s">
        <v>73</v>
      </c>
      <c r="BL73">
        <v>200</v>
      </c>
      <c r="BM73">
        <v>1000</v>
      </c>
      <c r="BN73" t="b">
        <v>0</v>
      </c>
      <c r="BO73" t="s">
        <v>85</v>
      </c>
      <c r="BP73">
        <v>2021</v>
      </c>
      <c r="BQ73" t="s">
        <v>86</v>
      </c>
      <c r="BR73" t="s">
        <v>371</v>
      </c>
    </row>
    <row r="74" spans="1:70">
      <c r="A74" t="s">
        <v>372</v>
      </c>
      <c r="B74" t="s">
        <v>71</v>
      </c>
      <c r="C74" t="s">
        <v>373</v>
      </c>
      <c r="D74" t="s">
        <v>73</v>
      </c>
      <c r="E74" t="s">
        <v>74</v>
      </c>
      <c r="F74">
        <v>78</v>
      </c>
      <c r="G74">
        <v>0.641476106824818</v>
      </c>
      <c r="H74">
        <v>0.597198086993258</v>
      </c>
      <c r="I74">
        <v>0.64</v>
      </c>
      <c r="J74">
        <v>0.639206349206349</v>
      </c>
      <c r="K74" t="s">
        <v>75</v>
      </c>
      <c r="L74" t="s">
        <v>374</v>
      </c>
      <c r="M74">
        <v>-5.579</v>
      </c>
      <c r="N74">
        <v>85.9375</v>
      </c>
      <c r="O74">
        <f t="shared" si="4"/>
        <v>55</v>
      </c>
      <c r="P74">
        <v>-5.48541818181818</v>
      </c>
      <c r="Q74">
        <f t="shared" si="5"/>
        <v>-301.698</v>
      </c>
      <c r="R74">
        <v>-7.561</v>
      </c>
      <c r="S74">
        <v>98.4375</v>
      </c>
      <c r="T74" t="s">
        <v>77</v>
      </c>
      <c r="U74" t="s">
        <v>78</v>
      </c>
      <c r="V74">
        <v>0</v>
      </c>
      <c r="W74" t="s">
        <v>79</v>
      </c>
      <c r="X74">
        <v>2</v>
      </c>
      <c r="Y74">
        <v>1</v>
      </c>
      <c r="Z74" t="b">
        <v>1</v>
      </c>
      <c r="AA74" t="s">
        <v>80</v>
      </c>
      <c r="AB74" t="s">
        <v>81</v>
      </c>
      <c r="AC74" t="b">
        <v>0</v>
      </c>
      <c r="AD74" t="s">
        <v>82</v>
      </c>
      <c r="AE74">
        <v>8</v>
      </c>
      <c r="AF74">
        <v>1</v>
      </c>
      <c r="AG74">
        <v>8</v>
      </c>
      <c r="AH74">
        <v>80</v>
      </c>
      <c r="AI74">
        <v>20</v>
      </c>
      <c r="AJ74">
        <v>20</v>
      </c>
      <c r="AK74">
        <v>30</v>
      </c>
      <c r="AL74">
        <v>2</v>
      </c>
      <c r="AM74">
        <v>0</v>
      </c>
      <c r="AN74" t="s">
        <v>83</v>
      </c>
      <c r="AO74">
        <v>1</v>
      </c>
      <c r="AP74">
        <v>15</v>
      </c>
      <c r="AQ74">
        <v>750</v>
      </c>
      <c r="AR74" t="s">
        <v>84</v>
      </c>
      <c r="AS74">
        <v>1</v>
      </c>
      <c r="AT74">
        <v>40</v>
      </c>
      <c r="AU74">
        <v>5</v>
      </c>
      <c r="AV74">
        <v>5</v>
      </c>
      <c r="AW74">
        <v>20</v>
      </c>
      <c r="AX74">
        <v>4</v>
      </c>
      <c r="AY74">
        <v>0</v>
      </c>
      <c r="AZ74" t="s">
        <v>83</v>
      </c>
      <c r="BA74">
        <v>0.2</v>
      </c>
      <c r="BB74">
        <v>8</v>
      </c>
      <c r="BC74">
        <v>0</v>
      </c>
      <c r="BD74">
        <v>750</v>
      </c>
      <c r="BE74" t="b">
        <v>0</v>
      </c>
      <c r="BF74">
        <v>6</v>
      </c>
      <c r="BG74">
        <v>0</v>
      </c>
      <c r="BH74">
        <v>1</v>
      </c>
      <c r="BI74">
        <v>1</v>
      </c>
      <c r="BJ74">
        <v>16</v>
      </c>
      <c r="BK74" t="s">
        <v>73</v>
      </c>
      <c r="BL74">
        <v>200</v>
      </c>
      <c r="BM74">
        <v>1000</v>
      </c>
      <c r="BN74" t="b">
        <v>0</v>
      </c>
      <c r="BO74" t="s">
        <v>85</v>
      </c>
      <c r="BP74">
        <v>2021</v>
      </c>
      <c r="BQ74" t="s">
        <v>86</v>
      </c>
      <c r="BR74" t="s">
        <v>375</v>
      </c>
    </row>
    <row r="75" spans="1:70">
      <c r="A75" t="s">
        <v>376</v>
      </c>
      <c r="B75" t="s">
        <v>71</v>
      </c>
      <c r="C75" t="s">
        <v>377</v>
      </c>
      <c r="D75" t="s">
        <v>73</v>
      </c>
      <c r="E75" t="s">
        <v>74</v>
      </c>
      <c r="F75">
        <v>79</v>
      </c>
      <c r="G75">
        <v>0.387419448122862</v>
      </c>
      <c r="H75">
        <v>0.42659505717552</v>
      </c>
      <c r="I75">
        <v>0.56</v>
      </c>
      <c r="J75">
        <v>0.562459016393443</v>
      </c>
      <c r="K75" t="s">
        <v>75</v>
      </c>
      <c r="L75" t="s">
        <v>378</v>
      </c>
      <c r="M75">
        <v>-10.155</v>
      </c>
      <c r="N75">
        <v>73.4375</v>
      </c>
      <c r="O75">
        <f t="shared" si="4"/>
        <v>47</v>
      </c>
      <c r="P75">
        <v>-10.0802978723404</v>
      </c>
      <c r="Q75">
        <f t="shared" si="5"/>
        <v>-473.774</v>
      </c>
      <c r="R75">
        <v>-12.544</v>
      </c>
      <c r="S75">
        <v>95.3125</v>
      </c>
      <c r="T75" t="s">
        <v>77</v>
      </c>
      <c r="U75" t="s">
        <v>78</v>
      </c>
      <c r="V75">
        <v>0</v>
      </c>
      <c r="W75" t="s">
        <v>79</v>
      </c>
      <c r="X75">
        <v>2</v>
      </c>
      <c r="Y75">
        <v>1</v>
      </c>
      <c r="Z75" t="b">
        <v>1</v>
      </c>
      <c r="AA75" t="s">
        <v>80</v>
      </c>
      <c r="AB75" t="s">
        <v>81</v>
      </c>
      <c r="AC75" t="b">
        <v>0</v>
      </c>
      <c r="AD75" t="s">
        <v>82</v>
      </c>
      <c r="AE75">
        <v>8</v>
      </c>
      <c r="AF75">
        <v>1</v>
      </c>
      <c r="AG75">
        <v>8</v>
      </c>
      <c r="AH75">
        <v>80</v>
      </c>
      <c r="AI75">
        <v>20</v>
      </c>
      <c r="AJ75">
        <v>20</v>
      </c>
      <c r="AK75">
        <v>30</v>
      </c>
      <c r="AL75">
        <v>2</v>
      </c>
      <c r="AM75">
        <v>0</v>
      </c>
      <c r="AN75" t="s">
        <v>83</v>
      </c>
      <c r="AO75">
        <v>1</v>
      </c>
      <c r="AP75">
        <v>15</v>
      </c>
      <c r="AQ75">
        <v>750</v>
      </c>
      <c r="AR75" t="s">
        <v>84</v>
      </c>
      <c r="AS75">
        <v>1</v>
      </c>
      <c r="AT75">
        <v>40</v>
      </c>
      <c r="AU75">
        <v>5</v>
      </c>
      <c r="AV75">
        <v>5</v>
      </c>
      <c r="AW75">
        <v>20</v>
      </c>
      <c r="AX75">
        <v>4</v>
      </c>
      <c r="AY75">
        <v>0</v>
      </c>
      <c r="AZ75" t="s">
        <v>83</v>
      </c>
      <c r="BA75">
        <v>0.2</v>
      </c>
      <c r="BB75">
        <v>8</v>
      </c>
      <c r="BC75">
        <v>0</v>
      </c>
      <c r="BD75">
        <v>750</v>
      </c>
      <c r="BE75" t="b">
        <v>0</v>
      </c>
      <c r="BF75">
        <v>6</v>
      </c>
      <c r="BG75">
        <v>0</v>
      </c>
      <c r="BH75">
        <v>1</v>
      </c>
      <c r="BI75">
        <v>1</v>
      </c>
      <c r="BJ75">
        <v>16</v>
      </c>
      <c r="BK75" t="s">
        <v>73</v>
      </c>
      <c r="BL75">
        <v>200</v>
      </c>
      <c r="BM75">
        <v>1000</v>
      </c>
      <c r="BN75" t="b">
        <v>0</v>
      </c>
      <c r="BO75" t="s">
        <v>85</v>
      </c>
      <c r="BP75">
        <v>2021</v>
      </c>
      <c r="BQ75" t="s">
        <v>86</v>
      </c>
      <c r="BR75" t="s">
        <v>379</v>
      </c>
    </row>
    <row r="76" spans="1:70">
      <c r="A76" t="s">
        <v>380</v>
      </c>
      <c r="B76" t="s">
        <v>71</v>
      </c>
      <c r="C76" t="s">
        <v>381</v>
      </c>
      <c r="D76" t="s">
        <v>73</v>
      </c>
      <c r="E76" t="s">
        <v>74</v>
      </c>
      <c r="F76">
        <v>80</v>
      </c>
      <c r="G76">
        <v>0.223267735049061</v>
      </c>
      <c r="H76">
        <v>0.252741321083625</v>
      </c>
      <c r="I76">
        <v>0.545</v>
      </c>
      <c r="J76">
        <v>0.552903225806452</v>
      </c>
      <c r="K76" t="s">
        <v>75</v>
      </c>
      <c r="L76" t="s">
        <v>382</v>
      </c>
      <c r="M76">
        <v>-12.8105</v>
      </c>
      <c r="N76">
        <v>56.25</v>
      </c>
      <c r="O76">
        <f t="shared" si="4"/>
        <v>36</v>
      </c>
      <c r="P76">
        <v>-12.4536388888889</v>
      </c>
      <c r="Q76">
        <f t="shared" si="5"/>
        <v>-448.331</v>
      </c>
      <c r="R76">
        <v>-20.829</v>
      </c>
      <c r="S76">
        <v>96.875</v>
      </c>
      <c r="T76" t="s">
        <v>77</v>
      </c>
      <c r="U76" t="s">
        <v>78</v>
      </c>
      <c r="V76">
        <v>0</v>
      </c>
      <c r="W76" t="s">
        <v>79</v>
      </c>
      <c r="X76">
        <v>2</v>
      </c>
      <c r="Y76">
        <v>1</v>
      </c>
      <c r="Z76" t="b">
        <v>1</v>
      </c>
      <c r="AA76" t="s">
        <v>80</v>
      </c>
      <c r="AB76" t="s">
        <v>81</v>
      </c>
      <c r="AC76" t="b">
        <v>0</v>
      </c>
      <c r="AD76" t="s">
        <v>82</v>
      </c>
      <c r="AE76">
        <v>8</v>
      </c>
      <c r="AF76">
        <v>1</v>
      </c>
      <c r="AG76">
        <v>8</v>
      </c>
      <c r="AH76">
        <v>80</v>
      </c>
      <c r="AI76">
        <v>20</v>
      </c>
      <c r="AJ76">
        <v>20</v>
      </c>
      <c r="AK76">
        <v>30</v>
      </c>
      <c r="AL76">
        <v>2</v>
      </c>
      <c r="AM76">
        <v>0</v>
      </c>
      <c r="AN76" t="s">
        <v>83</v>
      </c>
      <c r="AO76">
        <v>1</v>
      </c>
      <c r="AP76">
        <v>15</v>
      </c>
      <c r="AQ76">
        <v>750</v>
      </c>
      <c r="AR76" t="s">
        <v>84</v>
      </c>
      <c r="AS76">
        <v>1</v>
      </c>
      <c r="AT76">
        <v>40</v>
      </c>
      <c r="AU76">
        <v>5</v>
      </c>
      <c r="AV76">
        <v>5</v>
      </c>
      <c r="AW76">
        <v>20</v>
      </c>
      <c r="AX76">
        <v>4</v>
      </c>
      <c r="AY76">
        <v>0</v>
      </c>
      <c r="AZ76" t="s">
        <v>83</v>
      </c>
      <c r="BA76">
        <v>0.2</v>
      </c>
      <c r="BB76">
        <v>8</v>
      </c>
      <c r="BC76">
        <v>0</v>
      </c>
      <c r="BD76">
        <v>750</v>
      </c>
      <c r="BE76" t="b">
        <v>0</v>
      </c>
      <c r="BF76">
        <v>6</v>
      </c>
      <c r="BG76">
        <v>0</v>
      </c>
      <c r="BH76">
        <v>1</v>
      </c>
      <c r="BI76">
        <v>1</v>
      </c>
      <c r="BJ76">
        <v>16</v>
      </c>
      <c r="BK76" t="s">
        <v>73</v>
      </c>
      <c r="BL76">
        <v>200</v>
      </c>
      <c r="BM76">
        <v>1000</v>
      </c>
      <c r="BN76" t="b">
        <v>0</v>
      </c>
      <c r="BO76" t="s">
        <v>85</v>
      </c>
      <c r="BP76">
        <v>2021</v>
      </c>
      <c r="BQ76" t="s">
        <v>86</v>
      </c>
      <c r="BR76" t="s">
        <v>383</v>
      </c>
    </row>
    <row r="77" spans="1:70">
      <c r="A77" t="s">
        <v>384</v>
      </c>
      <c r="B77" t="s">
        <v>71</v>
      </c>
      <c r="C77" t="s">
        <v>385</v>
      </c>
      <c r="D77" t="s">
        <v>73</v>
      </c>
      <c r="E77" t="s">
        <v>74</v>
      </c>
      <c r="F77">
        <v>81</v>
      </c>
      <c r="G77">
        <v>0.182945006989278</v>
      </c>
      <c r="H77">
        <v>0.197817315401965</v>
      </c>
      <c r="I77">
        <v>0.49</v>
      </c>
      <c r="J77">
        <v>0.473809523809524</v>
      </c>
      <c r="K77" t="s">
        <v>75</v>
      </c>
      <c r="L77" t="s">
        <v>386</v>
      </c>
      <c r="M77">
        <v>-10.6655</v>
      </c>
      <c r="N77">
        <v>78.125</v>
      </c>
      <c r="O77">
        <f t="shared" si="4"/>
        <v>50</v>
      </c>
      <c r="P77">
        <v>-11.08288</v>
      </c>
      <c r="Q77">
        <f t="shared" si="5"/>
        <v>-554.144</v>
      </c>
      <c r="R77">
        <v>-16.462</v>
      </c>
      <c r="S77">
        <v>98.4375</v>
      </c>
      <c r="T77" t="s">
        <v>77</v>
      </c>
      <c r="U77" t="s">
        <v>78</v>
      </c>
      <c r="V77">
        <v>0</v>
      </c>
      <c r="W77" t="s">
        <v>79</v>
      </c>
      <c r="X77">
        <v>2</v>
      </c>
      <c r="Y77">
        <v>1</v>
      </c>
      <c r="Z77" t="b">
        <v>1</v>
      </c>
      <c r="AA77" t="s">
        <v>80</v>
      </c>
      <c r="AB77" t="s">
        <v>81</v>
      </c>
      <c r="AC77" t="b">
        <v>0</v>
      </c>
      <c r="AD77" t="s">
        <v>82</v>
      </c>
      <c r="AE77">
        <v>8</v>
      </c>
      <c r="AF77">
        <v>1</v>
      </c>
      <c r="AG77">
        <v>8</v>
      </c>
      <c r="AH77">
        <v>80</v>
      </c>
      <c r="AI77">
        <v>20</v>
      </c>
      <c r="AJ77">
        <v>20</v>
      </c>
      <c r="AK77">
        <v>30</v>
      </c>
      <c r="AL77">
        <v>2</v>
      </c>
      <c r="AM77">
        <v>0</v>
      </c>
      <c r="AN77" t="s">
        <v>83</v>
      </c>
      <c r="AO77">
        <v>1</v>
      </c>
      <c r="AP77">
        <v>15</v>
      </c>
      <c r="AQ77">
        <v>750</v>
      </c>
      <c r="AR77" t="s">
        <v>84</v>
      </c>
      <c r="AS77">
        <v>1</v>
      </c>
      <c r="AT77">
        <v>40</v>
      </c>
      <c r="AU77">
        <v>5</v>
      </c>
      <c r="AV77">
        <v>5</v>
      </c>
      <c r="AW77">
        <v>20</v>
      </c>
      <c r="AX77">
        <v>4</v>
      </c>
      <c r="AY77">
        <v>0</v>
      </c>
      <c r="AZ77" t="s">
        <v>83</v>
      </c>
      <c r="BA77">
        <v>0.2</v>
      </c>
      <c r="BB77">
        <v>8</v>
      </c>
      <c r="BC77">
        <v>0</v>
      </c>
      <c r="BD77">
        <v>750</v>
      </c>
      <c r="BE77" t="b">
        <v>0</v>
      </c>
      <c r="BF77">
        <v>6</v>
      </c>
      <c r="BG77">
        <v>0</v>
      </c>
      <c r="BH77">
        <v>1</v>
      </c>
      <c r="BI77">
        <v>1</v>
      </c>
      <c r="BJ77">
        <v>16</v>
      </c>
      <c r="BK77" t="s">
        <v>73</v>
      </c>
      <c r="BL77">
        <v>200</v>
      </c>
      <c r="BM77">
        <v>1000</v>
      </c>
      <c r="BN77" t="b">
        <v>0</v>
      </c>
      <c r="BO77" t="s">
        <v>85</v>
      </c>
      <c r="BP77">
        <v>2021</v>
      </c>
      <c r="BQ77" t="s">
        <v>86</v>
      </c>
      <c r="BR77" t="s">
        <v>387</v>
      </c>
    </row>
    <row r="78" spans="1:70">
      <c r="A78" t="s">
        <v>388</v>
      </c>
      <c r="B78" t="s">
        <v>71</v>
      </c>
      <c r="C78" t="s">
        <v>389</v>
      </c>
      <c r="D78" t="s">
        <v>73</v>
      </c>
      <c r="E78" t="s">
        <v>74</v>
      </c>
      <c r="F78">
        <v>82</v>
      </c>
      <c r="G78">
        <v>0.438917228058369</v>
      </c>
      <c r="H78">
        <v>0.435544328830149</v>
      </c>
      <c r="I78">
        <v>0.66</v>
      </c>
      <c r="J78">
        <v>0.636507936507937</v>
      </c>
      <c r="K78" t="s">
        <v>75</v>
      </c>
      <c r="L78" t="s">
        <v>390</v>
      </c>
      <c r="M78">
        <v>-8.202</v>
      </c>
      <c r="N78">
        <v>82.8125</v>
      </c>
      <c r="O78">
        <f t="shared" si="4"/>
        <v>53</v>
      </c>
      <c r="P78">
        <v>-8.37339622641509</v>
      </c>
      <c r="Q78">
        <f t="shared" si="5"/>
        <v>-443.79</v>
      </c>
      <c r="R78">
        <v>-12.489</v>
      </c>
      <c r="S78">
        <v>98.4375</v>
      </c>
      <c r="T78" t="s">
        <v>77</v>
      </c>
      <c r="U78" t="s">
        <v>78</v>
      </c>
      <c r="V78">
        <v>0</v>
      </c>
      <c r="W78" t="s">
        <v>79</v>
      </c>
      <c r="X78">
        <v>2</v>
      </c>
      <c r="Y78">
        <v>1</v>
      </c>
      <c r="Z78" t="b">
        <v>1</v>
      </c>
      <c r="AA78" t="s">
        <v>80</v>
      </c>
      <c r="AB78" t="s">
        <v>81</v>
      </c>
      <c r="AC78" t="b">
        <v>0</v>
      </c>
      <c r="AD78" t="s">
        <v>82</v>
      </c>
      <c r="AE78">
        <v>8</v>
      </c>
      <c r="AF78">
        <v>1</v>
      </c>
      <c r="AG78">
        <v>8</v>
      </c>
      <c r="AH78">
        <v>80</v>
      </c>
      <c r="AI78">
        <v>20</v>
      </c>
      <c r="AJ78">
        <v>20</v>
      </c>
      <c r="AK78">
        <v>30</v>
      </c>
      <c r="AL78">
        <v>2</v>
      </c>
      <c r="AM78">
        <v>0</v>
      </c>
      <c r="AN78" t="s">
        <v>83</v>
      </c>
      <c r="AO78">
        <v>1</v>
      </c>
      <c r="AP78">
        <v>15</v>
      </c>
      <c r="AQ78">
        <v>750</v>
      </c>
      <c r="AR78" t="s">
        <v>84</v>
      </c>
      <c r="AS78">
        <v>1</v>
      </c>
      <c r="AT78">
        <v>40</v>
      </c>
      <c r="AU78">
        <v>5</v>
      </c>
      <c r="AV78">
        <v>5</v>
      </c>
      <c r="AW78">
        <v>20</v>
      </c>
      <c r="AX78">
        <v>4</v>
      </c>
      <c r="AY78">
        <v>0</v>
      </c>
      <c r="AZ78" t="s">
        <v>83</v>
      </c>
      <c r="BA78">
        <v>0.2</v>
      </c>
      <c r="BB78">
        <v>8</v>
      </c>
      <c r="BC78">
        <v>0</v>
      </c>
      <c r="BD78">
        <v>750</v>
      </c>
      <c r="BE78" t="b">
        <v>0</v>
      </c>
      <c r="BF78">
        <v>6</v>
      </c>
      <c r="BG78">
        <v>0</v>
      </c>
      <c r="BH78">
        <v>1</v>
      </c>
      <c r="BI78">
        <v>1</v>
      </c>
      <c r="BJ78">
        <v>16</v>
      </c>
      <c r="BK78" t="s">
        <v>73</v>
      </c>
      <c r="BL78">
        <v>200</v>
      </c>
      <c r="BM78">
        <v>1000</v>
      </c>
      <c r="BN78" t="b">
        <v>0</v>
      </c>
      <c r="BO78" t="s">
        <v>85</v>
      </c>
      <c r="BP78">
        <v>2021</v>
      </c>
      <c r="BQ78" t="s">
        <v>86</v>
      </c>
      <c r="BR78" t="s">
        <v>391</v>
      </c>
    </row>
    <row r="79" spans="1:70">
      <c r="A79" t="s">
        <v>392</v>
      </c>
      <c r="B79" t="s">
        <v>71</v>
      </c>
      <c r="C79" t="s">
        <v>393</v>
      </c>
      <c r="D79" t="s">
        <v>73</v>
      </c>
      <c r="E79" t="s">
        <v>74</v>
      </c>
      <c r="F79">
        <v>83</v>
      </c>
      <c r="G79">
        <v>0.170193238392371</v>
      </c>
      <c r="H79">
        <v>0.167591689320133</v>
      </c>
      <c r="I79">
        <v>0.525</v>
      </c>
      <c r="J79">
        <v>0.52078125</v>
      </c>
      <c r="K79" t="s">
        <v>75</v>
      </c>
      <c r="L79" t="s">
        <v>394</v>
      </c>
      <c r="M79">
        <v>-8.356</v>
      </c>
      <c r="N79">
        <v>71.875</v>
      </c>
      <c r="O79">
        <f t="shared" si="4"/>
        <v>46</v>
      </c>
      <c r="P79">
        <v>-8.89810869565217</v>
      </c>
      <c r="Q79">
        <f t="shared" si="5"/>
        <v>-409.313</v>
      </c>
      <c r="R79">
        <v>-14.55</v>
      </c>
      <c r="S79">
        <v>100</v>
      </c>
      <c r="T79" t="s">
        <v>77</v>
      </c>
      <c r="U79" t="s">
        <v>78</v>
      </c>
      <c r="V79">
        <v>0</v>
      </c>
      <c r="W79" t="s">
        <v>79</v>
      </c>
      <c r="X79">
        <v>2</v>
      </c>
      <c r="Y79">
        <v>1</v>
      </c>
      <c r="Z79" t="b">
        <v>1</v>
      </c>
      <c r="AA79" t="s">
        <v>80</v>
      </c>
      <c r="AB79" t="s">
        <v>81</v>
      </c>
      <c r="AC79" t="b">
        <v>0</v>
      </c>
      <c r="AD79" t="s">
        <v>82</v>
      </c>
      <c r="AE79">
        <v>8</v>
      </c>
      <c r="AF79">
        <v>1</v>
      </c>
      <c r="AG79">
        <v>8</v>
      </c>
      <c r="AH79">
        <v>80</v>
      </c>
      <c r="AI79">
        <v>20</v>
      </c>
      <c r="AJ79">
        <v>20</v>
      </c>
      <c r="AK79">
        <v>30</v>
      </c>
      <c r="AL79">
        <v>2</v>
      </c>
      <c r="AM79">
        <v>0</v>
      </c>
      <c r="AN79" t="s">
        <v>83</v>
      </c>
      <c r="AO79">
        <v>1</v>
      </c>
      <c r="AP79">
        <v>15</v>
      </c>
      <c r="AQ79">
        <v>750</v>
      </c>
      <c r="AR79" t="s">
        <v>84</v>
      </c>
      <c r="AS79">
        <v>1</v>
      </c>
      <c r="AT79">
        <v>40</v>
      </c>
      <c r="AU79">
        <v>5</v>
      </c>
      <c r="AV79">
        <v>5</v>
      </c>
      <c r="AW79">
        <v>20</v>
      </c>
      <c r="AX79">
        <v>4</v>
      </c>
      <c r="AY79">
        <v>0</v>
      </c>
      <c r="AZ79" t="s">
        <v>83</v>
      </c>
      <c r="BA79">
        <v>0.2</v>
      </c>
      <c r="BB79">
        <v>8</v>
      </c>
      <c r="BC79">
        <v>0</v>
      </c>
      <c r="BD79">
        <v>750</v>
      </c>
      <c r="BE79" t="b">
        <v>0</v>
      </c>
      <c r="BF79">
        <v>6</v>
      </c>
      <c r="BG79">
        <v>0</v>
      </c>
      <c r="BH79">
        <v>1</v>
      </c>
      <c r="BI79">
        <v>1</v>
      </c>
      <c r="BJ79">
        <v>16</v>
      </c>
      <c r="BK79" t="s">
        <v>73</v>
      </c>
      <c r="BL79">
        <v>200</v>
      </c>
      <c r="BM79">
        <v>1000</v>
      </c>
      <c r="BN79" t="b">
        <v>0</v>
      </c>
      <c r="BO79" t="s">
        <v>85</v>
      </c>
      <c r="BP79">
        <v>2021</v>
      </c>
      <c r="BQ79" t="s">
        <v>86</v>
      </c>
      <c r="BR79" t="s">
        <v>395</v>
      </c>
    </row>
    <row r="80" spans="1:70">
      <c r="A80" t="s">
        <v>396</v>
      </c>
      <c r="B80" t="s">
        <v>71</v>
      </c>
      <c r="C80" t="s">
        <v>397</v>
      </c>
      <c r="D80" t="s">
        <v>73</v>
      </c>
      <c r="E80" t="s">
        <v>74</v>
      </c>
      <c r="F80">
        <v>84</v>
      </c>
      <c r="G80">
        <v>0.558116090018255</v>
      </c>
      <c r="H80">
        <v>0.528804021445312</v>
      </c>
      <c r="I80">
        <v>0.59</v>
      </c>
      <c r="J80">
        <v>0.61109375</v>
      </c>
      <c r="K80" t="s">
        <v>75</v>
      </c>
      <c r="L80" t="s">
        <v>398</v>
      </c>
      <c r="M80">
        <v>-8.705</v>
      </c>
      <c r="N80">
        <v>79.6875</v>
      </c>
      <c r="O80">
        <f t="shared" si="4"/>
        <v>51</v>
      </c>
      <c r="P80">
        <v>-8.50019607843137</v>
      </c>
      <c r="Q80">
        <f t="shared" si="5"/>
        <v>-433.51</v>
      </c>
      <c r="R80">
        <v>-12.523</v>
      </c>
      <c r="S80">
        <v>100</v>
      </c>
      <c r="T80" t="s">
        <v>77</v>
      </c>
      <c r="U80" t="s">
        <v>78</v>
      </c>
      <c r="V80">
        <v>0</v>
      </c>
      <c r="W80" t="s">
        <v>79</v>
      </c>
      <c r="X80">
        <v>2</v>
      </c>
      <c r="Y80">
        <v>1</v>
      </c>
      <c r="Z80" t="b">
        <v>1</v>
      </c>
      <c r="AA80" t="s">
        <v>80</v>
      </c>
      <c r="AB80" t="s">
        <v>81</v>
      </c>
      <c r="AC80" t="b">
        <v>0</v>
      </c>
      <c r="AD80" t="s">
        <v>82</v>
      </c>
      <c r="AE80">
        <v>8</v>
      </c>
      <c r="AF80">
        <v>1</v>
      </c>
      <c r="AG80">
        <v>8</v>
      </c>
      <c r="AH80">
        <v>80</v>
      </c>
      <c r="AI80">
        <v>20</v>
      </c>
      <c r="AJ80">
        <v>20</v>
      </c>
      <c r="AK80">
        <v>30</v>
      </c>
      <c r="AL80">
        <v>2</v>
      </c>
      <c r="AM80">
        <v>0</v>
      </c>
      <c r="AN80" t="s">
        <v>83</v>
      </c>
      <c r="AO80">
        <v>1</v>
      </c>
      <c r="AP80">
        <v>15</v>
      </c>
      <c r="AQ80">
        <v>750</v>
      </c>
      <c r="AR80" t="s">
        <v>84</v>
      </c>
      <c r="AS80">
        <v>1</v>
      </c>
      <c r="AT80">
        <v>40</v>
      </c>
      <c r="AU80">
        <v>5</v>
      </c>
      <c r="AV80">
        <v>5</v>
      </c>
      <c r="AW80">
        <v>20</v>
      </c>
      <c r="AX80">
        <v>4</v>
      </c>
      <c r="AY80">
        <v>0</v>
      </c>
      <c r="AZ80" t="s">
        <v>83</v>
      </c>
      <c r="BA80">
        <v>0.2</v>
      </c>
      <c r="BB80">
        <v>8</v>
      </c>
      <c r="BC80">
        <v>0</v>
      </c>
      <c r="BD80">
        <v>750</v>
      </c>
      <c r="BE80" t="b">
        <v>0</v>
      </c>
      <c r="BF80">
        <v>6</v>
      </c>
      <c r="BG80">
        <v>0</v>
      </c>
      <c r="BH80">
        <v>1</v>
      </c>
      <c r="BI80">
        <v>1</v>
      </c>
      <c r="BJ80">
        <v>16</v>
      </c>
      <c r="BK80" t="s">
        <v>73</v>
      </c>
      <c r="BL80">
        <v>200</v>
      </c>
      <c r="BM80">
        <v>1000</v>
      </c>
      <c r="BN80" t="b">
        <v>0</v>
      </c>
      <c r="BO80" t="s">
        <v>85</v>
      </c>
      <c r="BP80">
        <v>2021</v>
      </c>
      <c r="BQ80" t="s">
        <v>86</v>
      </c>
      <c r="BR80" t="s">
        <v>399</v>
      </c>
    </row>
    <row r="81" spans="1:70">
      <c r="A81" t="s">
        <v>400</v>
      </c>
      <c r="B81" t="s">
        <v>71</v>
      </c>
      <c r="C81" t="s">
        <v>401</v>
      </c>
      <c r="D81" t="s">
        <v>73</v>
      </c>
      <c r="E81" t="s">
        <v>74</v>
      </c>
      <c r="F81">
        <v>85</v>
      </c>
      <c r="G81">
        <v>0.329517517510512</v>
      </c>
      <c r="H81">
        <v>0.326774414159474</v>
      </c>
      <c r="I81">
        <v>0.52</v>
      </c>
      <c r="J81">
        <v>0.52109375</v>
      </c>
      <c r="K81" t="s">
        <v>75</v>
      </c>
      <c r="L81" t="s">
        <v>402</v>
      </c>
      <c r="M81">
        <v>-9.9045</v>
      </c>
      <c r="N81">
        <v>84.375</v>
      </c>
      <c r="O81">
        <f t="shared" si="4"/>
        <v>54</v>
      </c>
      <c r="P81">
        <v>-11.4542777777778</v>
      </c>
      <c r="Q81">
        <f t="shared" si="5"/>
        <v>-618.531</v>
      </c>
      <c r="R81">
        <v>-19.045</v>
      </c>
      <c r="S81">
        <v>100</v>
      </c>
      <c r="T81" t="s">
        <v>77</v>
      </c>
      <c r="U81" t="s">
        <v>78</v>
      </c>
      <c r="V81">
        <v>0</v>
      </c>
      <c r="W81" t="s">
        <v>79</v>
      </c>
      <c r="X81">
        <v>2</v>
      </c>
      <c r="Y81">
        <v>1</v>
      </c>
      <c r="Z81" t="b">
        <v>1</v>
      </c>
      <c r="AA81" t="s">
        <v>80</v>
      </c>
      <c r="AB81" t="s">
        <v>81</v>
      </c>
      <c r="AC81" t="b">
        <v>0</v>
      </c>
      <c r="AD81" t="s">
        <v>82</v>
      </c>
      <c r="AE81">
        <v>8</v>
      </c>
      <c r="AF81">
        <v>1</v>
      </c>
      <c r="AG81">
        <v>8</v>
      </c>
      <c r="AH81">
        <v>80</v>
      </c>
      <c r="AI81">
        <v>20</v>
      </c>
      <c r="AJ81">
        <v>20</v>
      </c>
      <c r="AK81">
        <v>30</v>
      </c>
      <c r="AL81">
        <v>2</v>
      </c>
      <c r="AM81">
        <v>0</v>
      </c>
      <c r="AN81" t="s">
        <v>83</v>
      </c>
      <c r="AO81">
        <v>1</v>
      </c>
      <c r="AP81">
        <v>15</v>
      </c>
      <c r="AQ81">
        <v>750</v>
      </c>
      <c r="AR81" t="s">
        <v>84</v>
      </c>
      <c r="AS81">
        <v>1</v>
      </c>
      <c r="AT81">
        <v>40</v>
      </c>
      <c r="AU81">
        <v>5</v>
      </c>
      <c r="AV81">
        <v>5</v>
      </c>
      <c r="AW81">
        <v>20</v>
      </c>
      <c r="AX81">
        <v>4</v>
      </c>
      <c r="AY81">
        <v>0</v>
      </c>
      <c r="AZ81" t="s">
        <v>83</v>
      </c>
      <c r="BA81">
        <v>0.2</v>
      </c>
      <c r="BB81">
        <v>8</v>
      </c>
      <c r="BC81">
        <v>0</v>
      </c>
      <c r="BD81">
        <v>750</v>
      </c>
      <c r="BE81" t="b">
        <v>0</v>
      </c>
      <c r="BF81">
        <v>6</v>
      </c>
      <c r="BG81">
        <v>0</v>
      </c>
      <c r="BH81">
        <v>1</v>
      </c>
      <c r="BI81">
        <v>1</v>
      </c>
      <c r="BJ81">
        <v>16</v>
      </c>
      <c r="BK81" t="s">
        <v>73</v>
      </c>
      <c r="BL81">
        <v>200</v>
      </c>
      <c r="BM81">
        <v>1000</v>
      </c>
      <c r="BN81" t="b">
        <v>0</v>
      </c>
      <c r="BO81" t="s">
        <v>85</v>
      </c>
      <c r="BP81">
        <v>2021</v>
      </c>
      <c r="BQ81" t="s">
        <v>86</v>
      </c>
      <c r="BR81" t="s">
        <v>403</v>
      </c>
    </row>
    <row r="82" spans="1:70">
      <c r="A82" t="s">
        <v>404</v>
      </c>
      <c r="B82" t="s">
        <v>71</v>
      </c>
      <c r="C82" t="s">
        <v>405</v>
      </c>
      <c r="D82" t="s">
        <v>73</v>
      </c>
      <c r="E82" t="s">
        <v>74</v>
      </c>
      <c r="F82">
        <v>86</v>
      </c>
      <c r="G82">
        <v>0.505115498403326</v>
      </c>
      <c r="H82">
        <v>0.488408892756885</v>
      </c>
      <c r="I82">
        <v>0.655</v>
      </c>
      <c r="J82">
        <v>0.65875</v>
      </c>
      <c r="K82" t="s">
        <v>75</v>
      </c>
      <c r="L82" t="s">
        <v>406</v>
      </c>
      <c r="M82">
        <v>-8.108</v>
      </c>
      <c r="N82">
        <v>95.3125</v>
      </c>
      <c r="O82">
        <f t="shared" si="4"/>
        <v>61</v>
      </c>
      <c r="P82">
        <v>-8.06698360655738</v>
      </c>
      <c r="Q82">
        <f t="shared" si="5"/>
        <v>-492.086</v>
      </c>
      <c r="R82">
        <v>-13.954</v>
      </c>
      <c r="S82">
        <v>100</v>
      </c>
      <c r="T82" t="s">
        <v>77</v>
      </c>
      <c r="U82" t="s">
        <v>78</v>
      </c>
      <c r="V82">
        <v>0</v>
      </c>
      <c r="W82" t="s">
        <v>79</v>
      </c>
      <c r="X82">
        <v>2</v>
      </c>
      <c r="Y82">
        <v>1</v>
      </c>
      <c r="Z82" t="b">
        <v>1</v>
      </c>
      <c r="AA82" t="s">
        <v>80</v>
      </c>
      <c r="AB82" t="s">
        <v>81</v>
      </c>
      <c r="AC82" t="b">
        <v>0</v>
      </c>
      <c r="AD82" t="s">
        <v>82</v>
      </c>
      <c r="AE82">
        <v>8</v>
      </c>
      <c r="AF82">
        <v>1</v>
      </c>
      <c r="AG82">
        <v>8</v>
      </c>
      <c r="AH82">
        <v>80</v>
      </c>
      <c r="AI82">
        <v>20</v>
      </c>
      <c r="AJ82">
        <v>20</v>
      </c>
      <c r="AK82">
        <v>30</v>
      </c>
      <c r="AL82">
        <v>2</v>
      </c>
      <c r="AM82">
        <v>0</v>
      </c>
      <c r="AN82" t="s">
        <v>83</v>
      </c>
      <c r="AO82">
        <v>1</v>
      </c>
      <c r="AP82">
        <v>15</v>
      </c>
      <c r="AQ82">
        <v>750</v>
      </c>
      <c r="AR82" t="s">
        <v>84</v>
      </c>
      <c r="AS82">
        <v>1</v>
      </c>
      <c r="AT82">
        <v>40</v>
      </c>
      <c r="AU82">
        <v>5</v>
      </c>
      <c r="AV82">
        <v>5</v>
      </c>
      <c r="AW82">
        <v>20</v>
      </c>
      <c r="AX82">
        <v>4</v>
      </c>
      <c r="AY82">
        <v>0</v>
      </c>
      <c r="AZ82" t="s">
        <v>83</v>
      </c>
      <c r="BA82">
        <v>0.2</v>
      </c>
      <c r="BB82">
        <v>8</v>
      </c>
      <c r="BC82">
        <v>0</v>
      </c>
      <c r="BD82">
        <v>750</v>
      </c>
      <c r="BE82" t="b">
        <v>0</v>
      </c>
      <c r="BF82">
        <v>6</v>
      </c>
      <c r="BG82">
        <v>0</v>
      </c>
      <c r="BH82">
        <v>1</v>
      </c>
      <c r="BI82">
        <v>1</v>
      </c>
      <c r="BJ82">
        <v>16</v>
      </c>
      <c r="BK82" t="s">
        <v>73</v>
      </c>
      <c r="BL82">
        <v>200</v>
      </c>
      <c r="BM82">
        <v>1000</v>
      </c>
      <c r="BN82" t="b">
        <v>0</v>
      </c>
      <c r="BO82" t="s">
        <v>85</v>
      </c>
      <c r="BP82">
        <v>2021</v>
      </c>
      <c r="BQ82" t="s">
        <v>86</v>
      </c>
      <c r="BR82" t="s">
        <v>407</v>
      </c>
    </row>
    <row r="83" spans="1:70">
      <c r="A83" t="s">
        <v>408</v>
      </c>
      <c r="B83" t="s">
        <v>71</v>
      </c>
      <c r="C83" t="s">
        <v>409</v>
      </c>
      <c r="D83" t="s">
        <v>73</v>
      </c>
      <c r="E83" t="s">
        <v>74</v>
      </c>
      <c r="F83">
        <v>88</v>
      </c>
      <c r="G83">
        <v>0.428465362934586</v>
      </c>
      <c r="H83">
        <v>0.427063369184492</v>
      </c>
      <c r="I83">
        <v>0.6</v>
      </c>
      <c r="J83">
        <v>0.5990625</v>
      </c>
      <c r="K83" t="s">
        <v>75</v>
      </c>
      <c r="L83" t="s">
        <v>410</v>
      </c>
      <c r="M83">
        <v>-7.748</v>
      </c>
      <c r="N83">
        <v>95.3125</v>
      </c>
      <c r="O83">
        <f t="shared" si="4"/>
        <v>61</v>
      </c>
      <c r="P83">
        <v>-7.7777868852459</v>
      </c>
      <c r="Q83">
        <f t="shared" si="5"/>
        <v>-474.445</v>
      </c>
      <c r="R83">
        <v>-11.457</v>
      </c>
      <c r="S83">
        <v>100</v>
      </c>
      <c r="T83" t="s">
        <v>77</v>
      </c>
      <c r="U83" t="s">
        <v>78</v>
      </c>
      <c r="V83">
        <v>0</v>
      </c>
      <c r="W83" t="s">
        <v>79</v>
      </c>
      <c r="X83">
        <v>2</v>
      </c>
      <c r="Y83">
        <v>1</v>
      </c>
      <c r="Z83" t="b">
        <v>1</v>
      </c>
      <c r="AA83" t="s">
        <v>80</v>
      </c>
      <c r="AB83" t="s">
        <v>81</v>
      </c>
      <c r="AC83" t="b">
        <v>0</v>
      </c>
      <c r="AD83" t="s">
        <v>82</v>
      </c>
      <c r="AE83">
        <v>8</v>
      </c>
      <c r="AF83">
        <v>1</v>
      </c>
      <c r="AG83">
        <v>8</v>
      </c>
      <c r="AH83">
        <v>80</v>
      </c>
      <c r="AI83">
        <v>20</v>
      </c>
      <c r="AJ83">
        <v>20</v>
      </c>
      <c r="AK83">
        <v>30</v>
      </c>
      <c r="AL83">
        <v>2</v>
      </c>
      <c r="AM83">
        <v>0</v>
      </c>
      <c r="AN83" t="s">
        <v>83</v>
      </c>
      <c r="AO83">
        <v>1</v>
      </c>
      <c r="AP83">
        <v>15</v>
      </c>
      <c r="AQ83">
        <v>750</v>
      </c>
      <c r="AR83" t="s">
        <v>84</v>
      </c>
      <c r="AS83">
        <v>1</v>
      </c>
      <c r="AT83">
        <v>40</v>
      </c>
      <c r="AU83">
        <v>5</v>
      </c>
      <c r="AV83">
        <v>5</v>
      </c>
      <c r="AW83">
        <v>20</v>
      </c>
      <c r="AX83">
        <v>4</v>
      </c>
      <c r="AY83">
        <v>0</v>
      </c>
      <c r="AZ83" t="s">
        <v>83</v>
      </c>
      <c r="BA83">
        <v>0.2</v>
      </c>
      <c r="BB83">
        <v>8</v>
      </c>
      <c r="BC83">
        <v>0</v>
      </c>
      <c r="BD83">
        <v>750</v>
      </c>
      <c r="BE83" t="b">
        <v>0</v>
      </c>
      <c r="BF83">
        <v>6</v>
      </c>
      <c r="BG83">
        <v>0</v>
      </c>
      <c r="BH83">
        <v>1</v>
      </c>
      <c r="BI83">
        <v>1</v>
      </c>
      <c r="BJ83">
        <v>16</v>
      </c>
      <c r="BK83" t="s">
        <v>73</v>
      </c>
      <c r="BL83">
        <v>200</v>
      </c>
      <c r="BM83">
        <v>1000</v>
      </c>
      <c r="BN83" t="b">
        <v>0</v>
      </c>
      <c r="BO83" t="s">
        <v>85</v>
      </c>
      <c r="BP83">
        <v>2021</v>
      </c>
      <c r="BQ83" t="s">
        <v>86</v>
      </c>
      <c r="BR83" t="s">
        <v>411</v>
      </c>
    </row>
    <row r="84" spans="1:70">
      <c r="A84" t="s">
        <v>412</v>
      </c>
      <c r="B84" t="s">
        <v>71</v>
      </c>
      <c r="C84" t="s">
        <v>413</v>
      </c>
      <c r="D84" t="s">
        <v>73</v>
      </c>
      <c r="E84" t="s">
        <v>74</v>
      </c>
      <c r="F84">
        <v>89</v>
      </c>
      <c r="G84">
        <v>0.516073874472332</v>
      </c>
      <c r="H84">
        <v>0.526106760980881</v>
      </c>
      <c r="I84">
        <v>0.62</v>
      </c>
      <c r="J84">
        <v>0.619375</v>
      </c>
      <c r="K84" t="s">
        <v>75</v>
      </c>
      <c r="L84" t="s">
        <v>414</v>
      </c>
      <c r="M84">
        <v>-8.311</v>
      </c>
      <c r="N84">
        <v>89.0625</v>
      </c>
      <c r="O84">
        <f t="shared" si="4"/>
        <v>57</v>
      </c>
      <c r="P84">
        <v>-8.09221052631579</v>
      </c>
      <c r="Q84">
        <f t="shared" si="5"/>
        <v>-461.256</v>
      </c>
      <c r="R84">
        <v>-11.523</v>
      </c>
      <c r="S84">
        <v>100</v>
      </c>
      <c r="T84" t="s">
        <v>77</v>
      </c>
      <c r="U84" t="s">
        <v>78</v>
      </c>
      <c r="V84">
        <v>0</v>
      </c>
      <c r="W84" t="s">
        <v>79</v>
      </c>
      <c r="X84">
        <v>2</v>
      </c>
      <c r="Y84">
        <v>1</v>
      </c>
      <c r="Z84" t="b">
        <v>1</v>
      </c>
      <c r="AA84" t="s">
        <v>80</v>
      </c>
      <c r="AB84" t="s">
        <v>81</v>
      </c>
      <c r="AC84" t="b">
        <v>0</v>
      </c>
      <c r="AD84" t="s">
        <v>82</v>
      </c>
      <c r="AE84">
        <v>8</v>
      </c>
      <c r="AF84">
        <v>1</v>
      </c>
      <c r="AG84">
        <v>8</v>
      </c>
      <c r="AH84">
        <v>80</v>
      </c>
      <c r="AI84">
        <v>20</v>
      </c>
      <c r="AJ84">
        <v>20</v>
      </c>
      <c r="AK84">
        <v>30</v>
      </c>
      <c r="AL84">
        <v>2</v>
      </c>
      <c r="AM84">
        <v>0</v>
      </c>
      <c r="AN84" t="s">
        <v>83</v>
      </c>
      <c r="AO84">
        <v>1</v>
      </c>
      <c r="AP84">
        <v>15</v>
      </c>
      <c r="AQ84">
        <v>750</v>
      </c>
      <c r="AR84" t="s">
        <v>84</v>
      </c>
      <c r="AS84">
        <v>1</v>
      </c>
      <c r="AT84">
        <v>40</v>
      </c>
      <c r="AU84">
        <v>5</v>
      </c>
      <c r="AV84">
        <v>5</v>
      </c>
      <c r="AW84">
        <v>20</v>
      </c>
      <c r="AX84">
        <v>4</v>
      </c>
      <c r="AY84">
        <v>0</v>
      </c>
      <c r="AZ84" t="s">
        <v>83</v>
      </c>
      <c r="BA84">
        <v>0.2</v>
      </c>
      <c r="BB84">
        <v>8</v>
      </c>
      <c r="BC84">
        <v>0</v>
      </c>
      <c r="BD84">
        <v>750</v>
      </c>
      <c r="BE84" t="b">
        <v>0</v>
      </c>
      <c r="BF84">
        <v>6</v>
      </c>
      <c r="BG84">
        <v>0</v>
      </c>
      <c r="BH84">
        <v>1</v>
      </c>
      <c r="BI84">
        <v>1</v>
      </c>
      <c r="BJ84">
        <v>16</v>
      </c>
      <c r="BK84" t="s">
        <v>73</v>
      </c>
      <c r="BL84">
        <v>200</v>
      </c>
      <c r="BM84">
        <v>1000</v>
      </c>
      <c r="BN84" t="b">
        <v>0</v>
      </c>
      <c r="BO84" t="s">
        <v>85</v>
      </c>
      <c r="BP84">
        <v>2021</v>
      </c>
      <c r="BQ84" t="s">
        <v>86</v>
      </c>
      <c r="BR84" t="s">
        <v>415</v>
      </c>
    </row>
    <row r="85" spans="1:70">
      <c r="A85" t="s">
        <v>416</v>
      </c>
      <c r="B85" t="s">
        <v>71</v>
      </c>
      <c r="C85" t="s">
        <v>417</v>
      </c>
      <c r="D85" t="s">
        <v>73</v>
      </c>
      <c r="E85" t="s">
        <v>74</v>
      </c>
      <c r="F85">
        <v>90</v>
      </c>
      <c r="G85">
        <v>0.525747731189217</v>
      </c>
      <c r="H85">
        <v>0.493682516512824</v>
      </c>
      <c r="I85">
        <v>0.7</v>
      </c>
      <c r="J85">
        <v>0.70875</v>
      </c>
      <c r="K85" t="s">
        <v>75</v>
      </c>
      <c r="L85" t="s">
        <v>418</v>
      </c>
      <c r="M85">
        <v>-4.593</v>
      </c>
      <c r="N85">
        <v>82.8125</v>
      </c>
      <c r="O85">
        <f t="shared" si="4"/>
        <v>53</v>
      </c>
      <c r="P85">
        <v>-4.81254716981132</v>
      </c>
      <c r="Q85">
        <f t="shared" si="5"/>
        <v>-255.065</v>
      </c>
      <c r="R85">
        <v>-7.448</v>
      </c>
      <c r="S85">
        <v>100</v>
      </c>
      <c r="T85" t="s">
        <v>77</v>
      </c>
      <c r="U85" t="s">
        <v>78</v>
      </c>
      <c r="V85">
        <v>0</v>
      </c>
      <c r="W85" t="s">
        <v>79</v>
      </c>
      <c r="X85">
        <v>2</v>
      </c>
      <c r="Y85">
        <v>1</v>
      </c>
      <c r="Z85" t="b">
        <v>1</v>
      </c>
      <c r="AA85" t="s">
        <v>80</v>
      </c>
      <c r="AB85" t="s">
        <v>81</v>
      </c>
      <c r="AC85" t="b">
        <v>0</v>
      </c>
      <c r="AD85" t="s">
        <v>82</v>
      </c>
      <c r="AE85">
        <v>8</v>
      </c>
      <c r="AF85">
        <v>1</v>
      </c>
      <c r="AG85">
        <v>8</v>
      </c>
      <c r="AH85">
        <v>80</v>
      </c>
      <c r="AI85">
        <v>20</v>
      </c>
      <c r="AJ85">
        <v>20</v>
      </c>
      <c r="AK85">
        <v>30</v>
      </c>
      <c r="AL85">
        <v>2</v>
      </c>
      <c r="AM85">
        <v>0</v>
      </c>
      <c r="AN85" t="s">
        <v>83</v>
      </c>
      <c r="AO85">
        <v>1</v>
      </c>
      <c r="AP85">
        <v>15</v>
      </c>
      <c r="AQ85">
        <v>750</v>
      </c>
      <c r="AR85" t="s">
        <v>84</v>
      </c>
      <c r="AS85">
        <v>1</v>
      </c>
      <c r="AT85">
        <v>40</v>
      </c>
      <c r="AU85">
        <v>5</v>
      </c>
      <c r="AV85">
        <v>5</v>
      </c>
      <c r="AW85">
        <v>20</v>
      </c>
      <c r="AX85">
        <v>4</v>
      </c>
      <c r="AY85">
        <v>0</v>
      </c>
      <c r="AZ85" t="s">
        <v>83</v>
      </c>
      <c r="BA85">
        <v>0.2</v>
      </c>
      <c r="BB85">
        <v>8</v>
      </c>
      <c r="BC85">
        <v>0</v>
      </c>
      <c r="BD85">
        <v>750</v>
      </c>
      <c r="BE85" t="b">
        <v>0</v>
      </c>
      <c r="BF85">
        <v>6</v>
      </c>
      <c r="BG85">
        <v>0</v>
      </c>
      <c r="BH85">
        <v>1</v>
      </c>
      <c r="BI85">
        <v>1</v>
      </c>
      <c r="BJ85">
        <v>16</v>
      </c>
      <c r="BK85" t="s">
        <v>73</v>
      </c>
      <c r="BL85">
        <v>200</v>
      </c>
      <c r="BM85">
        <v>1000</v>
      </c>
      <c r="BN85" t="b">
        <v>0</v>
      </c>
      <c r="BO85" t="s">
        <v>85</v>
      </c>
      <c r="BP85">
        <v>2021</v>
      </c>
      <c r="BQ85" t="s">
        <v>86</v>
      </c>
      <c r="BR85" t="s">
        <v>419</v>
      </c>
    </row>
    <row r="86" spans="1:70">
      <c r="A86" t="s">
        <v>420</v>
      </c>
      <c r="B86" t="s">
        <v>71</v>
      </c>
      <c r="C86" t="s">
        <v>421</v>
      </c>
      <c r="D86" t="s">
        <v>73</v>
      </c>
      <c r="E86" t="s">
        <v>74</v>
      </c>
      <c r="F86">
        <v>91</v>
      </c>
      <c r="G86">
        <v>0.487771881446158</v>
      </c>
      <c r="H86">
        <v>0.482917826206589</v>
      </c>
      <c r="I86">
        <v>0.585</v>
      </c>
      <c r="J86">
        <v>0.58578125</v>
      </c>
      <c r="K86" t="s">
        <v>75</v>
      </c>
      <c r="L86" t="s">
        <v>422</v>
      </c>
      <c r="M86">
        <v>-8.319</v>
      </c>
      <c r="N86">
        <v>92.1875</v>
      </c>
      <c r="O86">
        <f t="shared" si="4"/>
        <v>59</v>
      </c>
      <c r="P86">
        <v>-8.29123728813559</v>
      </c>
      <c r="Q86">
        <f t="shared" si="5"/>
        <v>-489.183</v>
      </c>
      <c r="R86">
        <v>-13.688</v>
      </c>
      <c r="S86">
        <v>100</v>
      </c>
      <c r="T86" t="s">
        <v>77</v>
      </c>
      <c r="U86" t="s">
        <v>78</v>
      </c>
      <c r="V86">
        <v>0</v>
      </c>
      <c r="W86" t="s">
        <v>79</v>
      </c>
      <c r="X86">
        <v>2</v>
      </c>
      <c r="Y86">
        <v>1</v>
      </c>
      <c r="Z86" t="b">
        <v>1</v>
      </c>
      <c r="AA86" t="s">
        <v>80</v>
      </c>
      <c r="AB86" t="s">
        <v>81</v>
      </c>
      <c r="AC86" t="b">
        <v>0</v>
      </c>
      <c r="AD86" t="s">
        <v>82</v>
      </c>
      <c r="AE86">
        <v>8</v>
      </c>
      <c r="AF86">
        <v>1</v>
      </c>
      <c r="AG86">
        <v>8</v>
      </c>
      <c r="AH86">
        <v>80</v>
      </c>
      <c r="AI86">
        <v>20</v>
      </c>
      <c r="AJ86">
        <v>20</v>
      </c>
      <c r="AK86">
        <v>30</v>
      </c>
      <c r="AL86">
        <v>2</v>
      </c>
      <c r="AM86">
        <v>0</v>
      </c>
      <c r="AN86" t="s">
        <v>83</v>
      </c>
      <c r="AO86">
        <v>1</v>
      </c>
      <c r="AP86">
        <v>15</v>
      </c>
      <c r="AQ86">
        <v>750</v>
      </c>
      <c r="AR86" t="s">
        <v>84</v>
      </c>
      <c r="AS86">
        <v>1</v>
      </c>
      <c r="AT86">
        <v>40</v>
      </c>
      <c r="AU86">
        <v>5</v>
      </c>
      <c r="AV86">
        <v>5</v>
      </c>
      <c r="AW86">
        <v>20</v>
      </c>
      <c r="AX86">
        <v>4</v>
      </c>
      <c r="AY86">
        <v>0</v>
      </c>
      <c r="AZ86" t="s">
        <v>83</v>
      </c>
      <c r="BA86">
        <v>0.2</v>
      </c>
      <c r="BB86">
        <v>8</v>
      </c>
      <c r="BC86">
        <v>0</v>
      </c>
      <c r="BD86">
        <v>750</v>
      </c>
      <c r="BE86" t="b">
        <v>0</v>
      </c>
      <c r="BF86">
        <v>6</v>
      </c>
      <c r="BG86">
        <v>0</v>
      </c>
      <c r="BH86">
        <v>1</v>
      </c>
      <c r="BI86">
        <v>1</v>
      </c>
      <c r="BJ86">
        <v>16</v>
      </c>
      <c r="BK86" t="s">
        <v>73</v>
      </c>
      <c r="BL86">
        <v>200</v>
      </c>
      <c r="BM86">
        <v>1000</v>
      </c>
      <c r="BN86" t="b">
        <v>0</v>
      </c>
      <c r="BO86" t="s">
        <v>85</v>
      </c>
      <c r="BP86">
        <v>2021</v>
      </c>
      <c r="BQ86" t="s">
        <v>86</v>
      </c>
      <c r="BR86" t="s">
        <v>423</v>
      </c>
    </row>
    <row r="87" spans="1:70">
      <c r="A87" t="s">
        <v>424</v>
      </c>
      <c r="B87" t="s">
        <v>71</v>
      </c>
      <c r="C87" t="s">
        <v>425</v>
      </c>
      <c r="D87" t="s">
        <v>73</v>
      </c>
      <c r="E87" t="s">
        <v>74</v>
      </c>
      <c r="F87">
        <v>92</v>
      </c>
      <c r="G87">
        <v>0.18982073052886</v>
      </c>
      <c r="H87">
        <v>0.236356564319936</v>
      </c>
      <c r="I87">
        <v>0.52</v>
      </c>
      <c r="J87">
        <v>0.510952380952381</v>
      </c>
      <c r="K87" t="s">
        <v>75</v>
      </c>
      <c r="L87" t="s">
        <v>426</v>
      </c>
      <c r="M87">
        <v>-10.356</v>
      </c>
      <c r="N87">
        <v>85.9375</v>
      </c>
      <c r="O87">
        <f t="shared" si="4"/>
        <v>55</v>
      </c>
      <c r="P87">
        <v>-10.1007090909091</v>
      </c>
      <c r="Q87">
        <f t="shared" si="5"/>
        <v>-555.539</v>
      </c>
      <c r="R87">
        <v>-12.997</v>
      </c>
      <c r="S87">
        <v>98.4375</v>
      </c>
      <c r="T87" t="s">
        <v>77</v>
      </c>
      <c r="U87" t="s">
        <v>78</v>
      </c>
      <c r="V87">
        <v>0</v>
      </c>
      <c r="W87" t="s">
        <v>79</v>
      </c>
      <c r="X87">
        <v>2</v>
      </c>
      <c r="Y87">
        <v>1</v>
      </c>
      <c r="Z87" t="b">
        <v>1</v>
      </c>
      <c r="AA87" t="s">
        <v>80</v>
      </c>
      <c r="AB87" t="s">
        <v>81</v>
      </c>
      <c r="AC87" t="b">
        <v>0</v>
      </c>
      <c r="AD87" t="s">
        <v>82</v>
      </c>
      <c r="AE87">
        <v>8</v>
      </c>
      <c r="AF87">
        <v>1</v>
      </c>
      <c r="AG87">
        <v>8</v>
      </c>
      <c r="AH87">
        <v>80</v>
      </c>
      <c r="AI87">
        <v>20</v>
      </c>
      <c r="AJ87">
        <v>20</v>
      </c>
      <c r="AK87">
        <v>30</v>
      </c>
      <c r="AL87">
        <v>2</v>
      </c>
      <c r="AM87">
        <v>0</v>
      </c>
      <c r="AN87" t="s">
        <v>83</v>
      </c>
      <c r="AO87">
        <v>1</v>
      </c>
      <c r="AP87">
        <v>15</v>
      </c>
      <c r="AQ87">
        <v>750</v>
      </c>
      <c r="AR87" t="s">
        <v>84</v>
      </c>
      <c r="AS87">
        <v>1</v>
      </c>
      <c r="AT87">
        <v>40</v>
      </c>
      <c r="AU87">
        <v>5</v>
      </c>
      <c r="AV87">
        <v>5</v>
      </c>
      <c r="AW87">
        <v>20</v>
      </c>
      <c r="AX87">
        <v>4</v>
      </c>
      <c r="AY87">
        <v>0</v>
      </c>
      <c r="AZ87" t="s">
        <v>83</v>
      </c>
      <c r="BA87">
        <v>0.2</v>
      </c>
      <c r="BB87">
        <v>8</v>
      </c>
      <c r="BC87">
        <v>0</v>
      </c>
      <c r="BD87">
        <v>750</v>
      </c>
      <c r="BE87" t="b">
        <v>0</v>
      </c>
      <c r="BF87">
        <v>6</v>
      </c>
      <c r="BG87">
        <v>0</v>
      </c>
      <c r="BH87">
        <v>1</v>
      </c>
      <c r="BI87">
        <v>1</v>
      </c>
      <c r="BJ87">
        <v>16</v>
      </c>
      <c r="BK87" t="s">
        <v>73</v>
      </c>
      <c r="BL87">
        <v>200</v>
      </c>
      <c r="BM87">
        <v>1000</v>
      </c>
      <c r="BN87" t="b">
        <v>0</v>
      </c>
      <c r="BO87" t="s">
        <v>85</v>
      </c>
      <c r="BP87">
        <v>2021</v>
      </c>
      <c r="BQ87" t="s">
        <v>86</v>
      </c>
      <c r="BR87" t="s">
        <v>427</v>
      </c>
    </row>
    <row r="88" spans="1:70">
      <c r="A88" t="s">
        <v>428</v>
      </c>
      <c r="B88" t="s">
        <v>71</v>
      </c>
      <c r="C88" t="s">
        <v>429</v>
      </c>
      <c r="D88" t="s">
        <v>73</v>
      </c>
      <c r="E88" t="s">
        <v>74</v>
      </c>
      <c r="F88">
        <v>93</v>
      </c>
      <c r="G88">
        <v>0.217099855559544</v>
      </c>
      <c r="H88">
        <v>0.229365312944782</v>
      </c>
      <c r="I88">
        <v>0.62</v>
      </c>
      <c r="J88">
        <v>0.622833333333333</v>
      </c>
      <c r="K88" t="s">
        <v>75</v>
      </c>
      <c r="L88" t="s">
        <v>430</v>
      </c>
      <c r="M88">
        <v>-7.228</v>
      </c>
      <c r="N88">
        <v>20.3125</v>
      </c>
      <c r="O88">
        <f t="shared" si="4"/>
        <v>13</v>
      </c>
      <c r="P88">
        <v>-7.71407692307692</v>
      </c>
      <c r="Q88">
        <f t="shared" si="5"/>
        <v>-100.283</v>
      </c>
      <c r="R88">
        <v>-10.531</v>
      </c>
      <c r="S88">
        <v>93.75</v>
      </c>
      <c r="T88" t="s">
        <v>77</v>
      </c>
      <c r="U88" t="s">
        <v>78</v>
      </c>
      <c r="V88">
        <v>0</v>
      </c>
      <c r="W88" t="s">
        <v>79</v>
      </c>
      <c r="X88">
        <v>2</v>
      </c>
      <c r="Y88">
        <v>1</v>
      </c>
      <c r="Z88" t="b">
        <v>1</v>
      </c>
      <c r="AA88" t="s">
        <v>80</v>
      </c>
      <c r="AB88" t="s">
        <v>81</v>
      </c>
      <c r="AC88" t="b">
        <v>0</v>
      </c>
      <c r="AD88" t="s">
        <v>82</v>
      </c>
      <c r="AE88">
        <v>8</v>
      </c>
      <c r="AF88">
        <v>1</v>
      </c>
      <c r="AG88">
        <v>8</v>
      </c>
      <c r="AH88">
        <v>80</v>
      </c>
      <c r="AI88">
        <v>20</v>
      </c>
      <c r="AJ88">
        <v>20</v>
      </c>
      <c r="AK88">
        <v>30</v>
      </c>
      <c r="AL88">
        <v>2</v>
      </c>
      <c r="AM88">
        <v>0</v>
      </c>
      <c r="AN88" t="s">
        <v>83</v>
      </c>
      <c r="AO88">
        <v>1</v>
      </c>
      <c r="AP88">
        <v>15</v>
      </c>
      <c r="AQ88">
        <v>750</v>
      </c>
      <c r="AR88" t="s">
        <v>84</v>
      </c>
      <c r="AS88">
        <v>1</v>
      </c>
      <c r="AT88">
        <v>40</v>
      </c>
      <c r="AU88">
        <v>5</v>
      </c>
      <c r="AV88">
        <v>5</v>
      </c>
      <c r="AW88">
        <v>20</v>
      </c>
      <c r="AX88">
        <v>4</v>
      </c>
      <c r="AY88">
        <v>0</v>
      </c>
      <c r="AZ88" t="s">
        <v>83</v>
      </c>
      <c r="BA88">
        <v>0.2</v>
      </c>
      <c r="BB88">
        <v>8</v>
      </c>
      <c r="BC88">
        <v>0</v>
      </c>
      <c r="BD88">
        <v>750</v>
      </c>
      <c r="BE88" t="b">
        <v>0</v>
      </c>
      <c r="BF88">
        <v>6</v>
      </c>
      <c r="BG88">
        <v>0</v>
      </c>
      <c r="BH88">
        <v>1</v>
      </c>
      <c r="BI88">
        <v>1</v>
      </c>
      <c r="BJ88">
        <v>16</v>
      </c>
      <c r="BK88" t="s">
        <v>73</v>
      </c>
      <c r="BL88">
        <v>200</v>
      </c>
      <c r="BM88">
        <v>1000</v>
      </c>
      <c r="BN88" t="b">
        <v>0</v>
      </c>
      <c r="BO88" t="s">
        <v>85</v>
      </c>
      <c r="BP88">
        <v>2021</v>
      </c>
      <c r="BQ88" t="s">
        <v>86</v>
      </c>
      <c r="BR88" t="s">
        <v>431</v>
      </c>
    </row>
    <row r="89" spans="1:70">
      <c r="A89" t="s">
        <v>432</v>
      </c>
      <c r="B89" t="s">
        <v>71</v>
      </c>
      <c r="C89" t="s">
        <v>433</v>
      </c>
      <c r="D89" t="s">
        <v>73</v>
      </c>
      <c r="E89" t="s">
        <v>74</v>
      </c>
      <c r="F89">
        <v>94</v>
      </c>
      <c r="G89">
        <v>0.463915393747196</v>
      </c>
      <c r="H89">
        <v>0.453262877896896</v>
      </c>
      <c r="I89">
        <v>0.67</v>
      </c>
      <c r="J89">
        <v>0.677301587301587</v>
      </c>
      <c r="K89" t="s">
        <v>75</v>
      </c>
      <c r="L89" t="s">
        <v>434</v>
      </c>
      <c r="M89">
        <v>-4.884</v>
      </c>
      <c r="N89">
        <v>85.9375</v>
      </c>
      <c r="O89">
        <f t="shared" si="4"/>
        <v>55</v>
      </c>
      <c r="P89">
        <v>-5.10847272727273</v>
      </c>
      <c r="Q89">
        <f t="shared" si="5"/>
        <v>-280.966</v>
      </c>
      <c r="R89">
        <v>-7.29</v>
      </c>
      <c r="S89">
        <v>98.4375</v>
      </c>
      <c r="T89" t="s">
        <v>77</v>
      </c>
      <c r="U89" t="s">
        <v>78</v>
      </c>
      <c r="V89">
        <v>0</v>
      </c>
      <c r="W89" t="s">
        <v>79</v>
      </c>
      <c r="X89">
        <v>2</v>
      </c>
      <c r="Y89">
        <v>1</v>
      </c>
      <c r="Z89" t="b">
        <v>1</v>
      </c>
      <c r="AA89" t="s">
        <v>80</v>
      </c>
      <c r="AB89" t="s">
        <v>81</v>
      </c>
      <c r="AC89" t="b">
        <v>0</v>
      </c>
      <c r="AD89" t="s">
        <v>82</v>
      </c>
      <c r="AE89">
        <v>8</v>
      </c>
      <c r="AF89">
        <v>1</v>
      </c>
      <c r="AG89">
        <v>8</v>
      </c>
      <c r="AH89">
        <v>80</v>
      </c>
      <c r="AI89">
        <v>20</v>
      </c>
      <c r="AJ89">
        <v>20</v>
      </c>
      <c r="AK89">
        <v>30</v>
      </c>
      <c r="AL89">
        <v>2</v>
      </c>
      <c r="AM89">
        <v>0</v>
      </c>
      <c r="AN89" t="s">
        <v>83</v>
      </c>
      <c r="AO89">
        <v>1</v>
      </c>
      <c r="AP89">
        <v>15</v>
      </c>
      <c r="AQ89">
        <v>750</v>
      </c>
      <c r="AR89" t="s">
        <v>84</v>
      </c>
      <c r="AS89">
        <v>1</v>
      </c>
      <c r="AT89">
        <v>40</v>
      </c>
      <c r="AU89">
        <v>5</v>
      </c>
      <c r="AV89">
        <v>5</v>
      </c>
      <c r="AW89">
        <v>20</v>
      </c>
      <c r="AX89">
        <v>4</v>
      </c>
      <c r="AY89">
        <v>0</v>
      </c>
      <c r="AZ89" t="s">
        <v>83</v>
      </c>
      <c r="BA89">
        <v>0.2</v>
      </c>
      <c r="BB89">
        <v>8</v>
      </c>
      <c r="BC89">
        <v>0</v>
      </c>
      <c r="BD89">
        <v>750</v>
      </c>
      <c r="BE89" t="b">
        <v>0</v>
      </c>
      <c r="BF89">
        <v>6</v>
      </c>
      <c r="BG89">
        <v>0</v>
      </c>
      <c r="BH89">
        <v>1</v>
      </c>
      <c r="BI89">
        <v>1</v>
      </c>
      <c r="BJ89">
        <v>16</v>
      </c>
      <c r="BK89" t="s">
        <v>73</v>
      </c>
      <c r="BL89">
        <v>200</v>
      </c>
      <c r="BM89">
        <v>1000</v>
      </c>
      <c r="BN89" t="b">
        <v>0</v>
      </c>
      <c r="BO89" t="s">
        <v>85</v>
      </c>
      <c r="BP89">
        <v>2021</v>
      </c>
      <c r="BQ89" t="s">
        <v>86</v>
      </c>
      <c r="BR89" t="s">
        <v>435</v>
      </c>
    </row>
    <row r="90" spans="1:70">
      <c r="A90" t="s">
        <v>436</v>
      </c>
      <c r="B90" t="s">
        <v>71</v>
      </c>
      <c r="C90" t="s">
        <v>437</v>
      </c>
      <c r="D90" t="s">
        <v>73</v>
      </c>
      <c r="E90" t="s">
        <v>74</v>
      </c>
      <c r="F90">
        <v>96</v>
      </c>
      <c r="G90">
        <v>0.431358955615748</v>
      </c>
      <c r="H90">
        <v>0.404853457161663</v>
      </c>
      <c r="I90">
        <v>0.775</v>
      </c>
      <c r="J90">
        <v>0.75828125</v>
      </c>
      <c r="K90" t="s">
        <v>75</v>
      </c>
      <c r="L90" t="s">
        <v>438</v>
      </c>
      <c r="M90">
        <v>-4.3135</v>
      </c>
      <c r="N90">
        <v>75</v>
      </c>
      <c r="O90">
        <f t="shared" si="4"/>
        <v>48</v>
      </c>
      <c r="P90">
        <v>-4.5786875</v>
      </c>
      <c r="Q90">
        <f t="shared" si="5"/>
        <v>-219.777</v>
      </c>
      <c r="R90">
        <v>-7.977</v>
      </c>
      <c r="S90">
        <v>100</v>
      </c>
      <c r="T90" t="s">
        <v>77</v>
      </c>
      <c r="U90" t="s">
        <v>78</v>
      </c>
      <c r="V90">
        <v>0</v>
      </c>
      <c r="W90" t="s">
        <v>79</v>
      </c>
      <c r="X90">
        <v>2</v>
      </c>
      <c r="Y90">
        <v>1</v>
      </c>
      <c r="Z90" t="b">
        <v>1</v>
      </c>
      <c r="AA90" t="s">
        <v>80</v>
      </c>
      <c r="AB90" t="s">
        <v>81</v>
      </c>
      <c r="AC90" t="b">
        <v>0</v>
      </c>
      <c r="AD90" t="s">
        <v>82</v>
      </c>
      <c r="AE90">
        <v>8</v>
      </c>
      <c r="AF90">
        <v>1</v>
      </c>
      <c r="AG90">
        <v>8</v>
      </c>
      <c r="AH90">
        <v>80</v>
      </c>
      <c r="AI90">
        <v>20</v>
      </c>
      <c r="AJ90">
        <v>20</v>
      </c>
      <c r="AK90">
        <v>30</v>
      </c>
      <c r="AL90">
        <v>2</v>
      </c>
      <c r="AM90">
        <v>0</v>
      </c>
      <c r="AN90" t="s">
        <v>83</v>
      </c>
      <c r="AO90">
        <v>1</v>
      </c>
      <c r="AP90">
        <v>15</v>
      </c>
      <c r="AQ90">
        <v>750</v>
      </c>
      <c r="AR90" t="s">
        <v>84</v>
      </c>
      <c r="AS90">
        <v>1</v>
      </c>
      <c r="AT90">
        <v>40</v>
      </c>
      <c r="AU90">
        <v>5</v>
      </c>
      <c r="AV90">
        <v>5</v>
      </c>
      <c r="AW90">
        <v>20</v>
      </c>
      <c r="AX90">
        <v>4</v>
      </c>
      <c r="AY90">
        <v>0</v>
      </c>
      <c r="AZ90" t="s">
        <v>83</v>
      </c>
      <c r="BA90">
        <v>0.2</v>
      </c>
      <c r="BB90">
        <v>8</v>
      </c>
      <c r="BC90">
        <v>0</v>
      </c>
      <c r="BD90">
        <v>750</v>
      </c>
      <c r="BE90" t="b">
        <v>0</v>
      </c>
      <c r="BF90">
        <v>6</v>
      </c>
      <c r="BG90">
        <v>0</v>
      </c>
      <c r="BH90">
        <v>1</v>
      </c>
      <c r="BI90">
        <v>1</v>
      </c>
      <c r="BJ90">
        <v>16</v>
      </c>
      <c r="BK90" t="s">
        <v>73</v>
      </c>
      <c r="BL90">
        <v>200</v>
      </c>
      <c r="BM90">
        <v>1000</v>
      </c>
      <c r="BN90" t="b">
        <v>0</v>
      </c>
      <c r="BO90" t="s">
        <v>85</v>
      </c>
      <c r="BP90">
        <v>2021</v>
      </c>
      <c r="BQ90" t="s">
        <v>86</v>
      </c>
      <c r="BR90" t="s">
        <v>439</v>
      </c>
    </row>
    <row r="91" spans="1:70">
      <c r="A91" t="s">
        <v>440</v>
      </c>
      <c r="B91" t="s">
        <v>71</v>
      </c>
      <c r="C91" t="s">
        <v>441</v>
      </c>
      <c r="D91" t="s">
        <v>73</v>
      </c>
      <c r="E91" t="s">
        <v>74</v>
      </c>
      <c r="F91">
        <v>97</v>
      </c>
      <c r="G91">
        <v>0.474333025691727</v>
      </c>
      <c r="H91">
        <v>0.479386756976444</v>
      </c>
      <c r="I91">
        <v>0.66</v>
      </c>
      <c r="J91">
        <v>0.66328125</v>
      </c>
      <c r="K91" t="s">
        <v>75</v>
      </c>
      <c r="L91" t="s">
        <v>442</v>
      </c>
      <c r="M91">
        <v>-7.964</v>
      </c>
      <c r="N91">
        <v>92.1875</v>
      </c>
      <c r="O91">
        <f t="shared" si="4"/>
        <v>59</v>
      </c>
      <c r="P91">
        <v>-7.93498305084746</v>
      </c>
      <c r="Q91">
        <f t="shared" si="5"/>
        <v>-468.164</v>
      </c>
      <c r="R91">
        <v>-10.134</v>
      </c>
      <c r="S91">
        <v>100</v>
      </c>
      <c r="T91" t="s">
        <v>77</v>
      </c>
      <c r="U91" t="s">
        <v>78</v>
      </c>
      <c r="V91">
        <v>0</v>
      </c>
      <c r="W91" t="s">
        <v>79</v>
      </c>
      <c r="X91">
        <v>2</v>
      </c>
      <c r="Y91">
        <v>1</v>
      </c>
      <c r="Z91" t="b">
        <v>1</v>
      </c>
      <c r="AA91" t="s">
        <v>80</v>
      </c>
      <c r="AB91" t="s">
        <v>81</v>
      </c>
      <c r="AC91" t="b">
        <v>0</v>
      </c>
      <c r="AD91" t="s">
        <v>82</v>
      </c>
      <c r="AE91">
        <v>8</v>
      </c>
      <c r="AF91">
        <v>1</v>
      </c>
      <c r="AG91">
        <v>8</v>
      </c>
      <c r="AH91">
        <v>80</v>
      </c>
      <c r="AI91">
        <v>20</v>
      </c>
      <c r="AJ91">
        <v>20</v>
      </c>
      <c r="AK91">
        <v>30</v>
      </c>
      <c r="AL91">
        <v>2</v>
      </c>
      <c r="AM91">
        <v>0</v>
      </c>
      <c r="AN91" t="s">
        <v>83</v>
      </c>
      <c r="AO91">
        <v>1</v>
      </c>
      <c r="AP91">
        <v>15</v>
      </c>
      <c r="AQ91">
        <v>750</v>
      </c>
      <c r="AR91" t="s">
        <v>84</v>
      </c>
      <c r="AS91">
        <v>1</v>
      </c>
      <c r="AT91">
        <v>40</v>
      </c>
      <c r="AU91">
        <v>5</v>
      </c>
      <c r="AV91">
        <v>5</v>
      </c>
      <c r="AW91">
        <v>20</v>
      </c>
      <c r="AX91">
        <v>4</v>
      </c>
      <c r="AY91">
        <v>0</v>
      </c>
      <c r="AZ91" t="s">
        <v>83</v>
      </c>
      <c r="BA91">
        <v>0.2</v>
      </c>
      <c r="BB91">
        <v>8</v>
      </c>
      <c r="BC91">
        <v>0</v>
      </c>
      <c r="BD91">
        <v>750</v>
      </c>
      <c r="BE91" t="b">
        <v>0</v>
      </c>
      <c r="BF91">
        <v>6</v>
      </c>
      <c r="BG91">
        <v>0</v>
      </c>
      <c r="BH91">
        <v>1</v>
      </c>
      <c r="BI91">
        <v>1</v>
      </c>
      <c r="BJ91">
        <v>16</v>
      </c>
      <c r="BK91" t="s">
        <v>73</v>
      </c>
      <c r="BL91">
        <v>200</v>
      </c>
      <c r="BM91">
        <v>1000</v>
      </c>
      <c r="BN91" t="b">
        <v>0</v>
      </c>
      <c r="BO91" t="s">
        <v>85</v>
      </c>
      <c r="BP91">
        <v>2021</v>
      </c>
      <c r="BQ91" t="s">
        <v>86</v>
      </c>
      <c r="BR91" t="s">
        <v>443</v>
      </c>
    </row>
    <row r="92" spans="1:70">
      <c r="A92" t="s">
        <v>444</v>
      </c>
      <c r="B92" t="s">
        <v>71</v>
      </c>
      <c r="C92" t="s">
        <v>445</v>
      </c>
      <c r="D92" t="s">
        <v>73</v>
      </c>
      <c r="E92" t="s">
        <v>74</v>
      </c>
      <c r="F92">
        <v>98</v>
      </c>
      <c r="G92">
        <v>0.368145278358571</v>
      </c>
      <c r="H92">
        <v>0.388239917129825</v>
      </c>
      <c r="I92">
        <v>0.51</v>
      </c>
      <c r="J92">
        <v>0.53125</v>
      </c>
      <c r="K92" t="s">
        <v>75</v>
      </c>
      <c r="L92" t="s">
        <v>446</v>
      </c>
      <c r="M92">
        <v>-9.073</v>
      </c>
      <c r="N92">
        <v>100</v>
      </c>
      <c r="O92">
        <f t="shared" si="4"/>
        <v>64</v>
      </c>
      <c r="P92">
        <v>-9.598609375</v>
      </c>
      <c r="Q92">
        <f t="shared" si="5"/>
        <v>-614.311</v>
      </c>
      <c r="R92">
        <v>-14.102</v>
      </c>
      <c r="S92">
        <v>100</v>
      </c>
      <c r="T92" t="s">
        <v>77</v>
      </c>
      <c r="U92" t="s">
        <v>78</v>
      </c>
      <c r="V92">
        <v>0</v>
      </c>
      <c r="W92" t="s">
        <v>79</v>
      </c>
      <c r="X92">
        <v>2</v>
      </c>
      <c r="Y92">
        <v>1</v>
      </c>
      <c r="Z92" t="b">
        <v>1</v>
      </c>
      <c r="AA92" t="s">
        <v>80</v>
      </c>
      <c r="AB92" t="s">
        <v>81</v>
      </c>
      <c r="AC92" t="b">
        <v>0</v>
      </c>
      <c r="AD92" t="s">
        <v>82</v>
      </c>
      <c r="AE92">
        <v>8</v>
      </c>
      <c r="AF92">
        <v>1</v>
      </c>
      <c r="AG92">
        <v>8</v>
      </c>
      <c r="AH92">
        <v>80</v>
      </c>
      <c r="AI92">
        <v>20</v>
      </c>
      <c r="AJ92">
        <v>20</v>
      </c>
      <c r="AK92">
        <v>30</v>
      </c>
      <c r="AL92">
        <v>2</v>
      </c>
      <c r="AM92">
        <v>0</v>
      </c>
      <c r="AN92" t="s">
        <v>83</v>
      </c>
      <c r="AO92">
        <v>1</v>
      </c>
      <c r="AP92">
        <v>15</v>
      </c>
      <c r="AQ92">
        <v>750</v>
      </c>
      <c r="AR92" t="s">
        <v>84</v>
      </c>
      <c r="AS92">
        <v>1</v>
      </c>
      <c r="AT92">
        <v>40</v>
      </c>
      <c r="AU92">
        <v>5</v>
      </c>
      <c r="AV92">
        <v>5</v>
      </c>
      <c r="AW92">
        <v>20</v>
      </c>
      <c r="AX92">
        <v>4</v>
      </c>
      <c r="AY92">
        <v>0</v>
      </c>
      <c r="AZ92" t="s">
        <v>83</v>
      </c>
      <c r="BA92">
        <v>0.2</v>
      </c>
      <c r="BB92">
        <v>8</v>
      </c>
      <c r="BC92">
        <v>0</v>
      </c>
      <c r="BD92">
        <v>750</v>
      </c>
      <c r="BE92" t="b">
        <v>0</v>
      </c>
      <c r="BF92">
        <v>6</v>
      </c>
      <c r="BG92">
        <v>0</v>
      </c>
      <c r="BH92">
        <v>1</v>
      </c>
      <c r="BI92">
        <v>1</v>
      </c>
      <c r="BJ92">
        <v>16</v>
      </c>
      <c r="BK92" t="s">
        <v>73</v>
      </c>
      <c r="BL92">
        <v>200</v>
      </c>
      <c r="BM92">
        <v>1000</v>
      </c>
      <c r="BN92" t="b">
        <v>0</v>
      </c>
      <c r="BO92" t="s">
        <v>85</v>
      </c>
      <c r="BP92">
        <v>2021</v>
      </c>
      <c r="BQ92" t="s">
        <v>86</v>
      </c>
      <c r="BR92" t="s">
        <v>447</v>
      </c>
    </row>
    <row r="93" spans="1:70">
      <c r="A93" t="s">
        <v>448</v>
      </c>
      <c r="B93" t="s">
        <v>71</v>
      </c>
      <c r="C93" t="s">
        <v>449</v>
      </c>
      <c r="D93" t="s">
        <v>73</v>
      </c>
      <c r="E93" t="s">
        <v>74</v>
      </c>
      <c r="F93">
        <v>99</v>
      </c>
      <c r="G93">
        <v>0.493458185338814</v>
      </c>
      <c r="H93">
        <v>0.498480905259755</v>
      </c>
      <c r="I93">
        <v>0.64</v>
      </c>
      <c r="J93">
        <v>0.64672131147541</v>
      </c>
      <c r="K93" t="s">
        <v>75</v>
      </c>
      <c r="L93" t="s">
        <v>450</v>
      </c>
      <c r="M93">
        <v>-7.8355</v>
      </c>
      <c r="N93">
        <v>81.25</v>
      </c>
      <c r="O93">
        <f t="shared" si="4"/>
        <v>52</v>
      </c>
      <c r="P93">
        <v>-7.77146153846154</v>
      </c>
      <c r="Q93">
        <f t="shared" si="5"/>
        <v>-404.116</v>
      </c>
      <c r="R93">
        <v>-10.472</v>
      </c>
      <c r="S93">
        <v>95.3125</v>
      </c>
      <c r="T93" t="s">
        <v>77</v>
      </c>
      <c r="U93" t="s">
        <v>78</v>
      </c>
      <c r="V93">
        <v>0</v>
      </c>
      <c r="W93" t="s">
        <v>79</v>
      </c>
      <c r="X93">
        <v>2</v>
      </c>
      <c r="Y93">
        <v>1</v>
      </c>
      <c r="Z93" t="b">
        <v>1</v>
      </c>
      <c r="AA93" t="s">
        <v>80</v>
      </c>
      <c r="AB93" t="s">
        <v>81</v>
      </c>
      <c r="AC93" t="b">
        <v>0</v>
      </c>
      <c r="AD93" t="s">
        <v>82</v>
      </c>
      <c r="AE93">
        <v>8</v>
      </c>
      <c r="AF93">
        <v>1</v>
      </c>
      <c r="AG93">
        <v>8</v>
      </c>
      <c r="AH93">
        <v>80</v>
      </c>
      <c r="AI93">
        <v>20</v>
      </c>
      <c r="AJ93">
        <v>20</v>
      </c>
      <c r="AK93">
        <v>30</v>
      </c>
      <c r="AL93">
        <v>2</v>
      </c>
      <c r="AM93">
        <v>0</v>
      </c>
      <c r="AN93" t="s">
        <v>83</v>
      </c>
      <c r="AO93">
        <v>1</v>
      </c>
      <c r="AP93">
        <v>15</v>
      </c>
      <c r="AQ93">
        <v>750</v>
      </c>
      <c r="AR93" t="s">
        <v>84</v>
      </c>
      <c r="AS93">
        <v>1</v>
      </c>
      <c r="AT93">
        <v>40</v>
      </c>
      <c r="AU93">
        <v>5</v>
      </c>
      <c r="AV93">
        <v>5</v>
      </c>
      <c r="AW93">
        <v>20</v>
      </c>
      <c r="AX93">
        <v>4</v>
      </c>
      <c r="AY93">
        <v>0</v>
      </c>
      <c r="AZ93" t="s">
        <v>83</v>
      </c>
      <c r="BA93">
        <v>0.2</v>
      </c>
      <c r="BB93">
        <v>8</v>
      </c>
      <c r="BC93">
        <v>0</v>
      </c>
      <c r="BD93">
        <v>750</v>
      </c>
      <c r="BE93" t="b">
        <v>0</v>
      </c>
      <c r="BF93">
        <v>6</v>
      </c>
      <c r="BG93">
        <v>0</v>
      </c>
      <c r="BH93">
        <v>1</v>
      </c>
      <c r="BI93">
        <v>1</v>
      </c>
      <c r="BJ93">
        <v>16</v>
      </c>
      <c r="BK93" t="s">
        <v>73</v>
      </c>
      <c r="BL93">
        <v>200</v>
      </c>
      <c r="BM93">
        <v>1000</v>
      </c>
      <c r="BN93" t="b">
        <v>0</v>
      </c>
      <c r="BO93" t="s">
        <v>85</v>
      </c>
      <c r="BP93">
        <v>2021</v>
      </c>
      <c r="BQ93" t="s">
        <v>86</v>
      </c>
      <c r="BR93" t="s">
        <v>451</v>
      </c>
    </row>
    <row r="98" spans="8:11">
      <c r="H98">
        <v>4603</v>
      </c>
      <c r="I98">
        <v>5888</v>
      </c>
      <c r="J98">
        <v>0.7817</v>
      </c>
      <c r="K98">
        <v>-7.88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叶行健</cp:lastModifiedBy>
  <dcterms:created xsi:type="dcterms:W3CDTF">2025-12-11T16:10:00Z</dcterms:created>
  <dcterms:modified xsi:type="dcterms:W3CDTF">2025-12-13T04:42:51Z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60026D2F987846A99B72287798A6022F_13</vt:lpwstr>
  </property>
  <property fmtid="{D5CDD505-2E9C-101B-9397-08002B2CF9AE}" pid="3" name="KSOProductBuildVer">
    <vt:lpwstr>2052-12.1.0.24034</vt:lpwstr>
  </property>
  <property fmtid="{D5CDD505-2E9C-101B-9397-08002B2CF9AE}" pid="4" name="CalculationRule">
    <vt:i4>0</vt:i4>
  </property>
</Properties>
</file>