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<sst xmlns="http://schemas.openxmlformats.org/spreadsheetml/2006/main" count="706" uniqueCount="415">
  <si>
    <t>评估开始时间</t>
  </si>
  <si>
    <t>评估结束时间</t>
  </si>
  <si>
    <t>评估耗时(秒)</t>
  </si>
  <si>
    <t>PT文件</t>
  </si>
  <si>
    <t>配体文件</t>
  </si>
  <si>
    <t>蛋白根目录</t>
  </si>
  <si>
    <t>原子编码模式</t>
  </si>
  <si>
    <t>对接强度</t>
  </si>
  <si>
    <t>总样本数</t>
  </si>
  <si>
    <t>重建成功数</t>
  </si>
  <si>
    <t>重建成功率(%)</t>
  </si>
  <si>
    <t>评估成功数</t>
  </si>
  <si>
    <t>评估成功率(%)</t>
  </si>
  <si>
    <t>完整分子数</t>
  </si>
  <si>
    <t>完整分子率(%)</t>
  </si>
  <si>
    <t>Vina_Dock_均值</t>
  </si>
  <si>
    <t>vinatotal</t>
  </si>
  <si>
    <t>Vina_Dock_中位数</t>
  </si>
  <si>
    <t>Vina_Dock_最小值</t>
  </si>
  <si>
    <t>Vina_Dock_最大值</t>
  </si>
  <si>
    <t>Vina_ScoreOnly_均值</t>
  </si>
  <si>
    <t>Vina_ScoreOnly_中位数</t>
  </si>
  <si>
    <t>Vina_Minimize_均值</t>
  </si>
  <si>
    <t>Vina_Minimize_中位数</t>
  </si>
  <si>
    <t>QED_均值</t>
  </si>
  <si>
    <t>QED_中位数</t>
  </si>
  <si>
    <t>SA_均值</t>
  </si>
  <si>
    <t>SA_中位数</t>
  </si>
  <si>
    <t>原子类型分布JSD_均值</t>
  </si>
  <si>
    <t>原子类型分布JSD_中位数</t>
  </si>
  <si>
    <t>键长JSD_JSD_6-6|1_均值</t>
  </si>
  <si>
    <t>键长JSD_JSD_6-6|2_均值</t>
  </si>
  <si>
    <t>键长JSD_JSD_6-6|4_均值</t>
  </si>
  <si>
    <t>键长JSD_JSD_6-7|1_均值</t>
  </si>
  <si>
    <t>键长JSD_JSD_6-7|2_均值</t>
  </si>
  <si>
    <t>键长JSD_JSD_6-7|4_均值</t>
  </si>
  <si>
    <t>键长JSD_JSD_6-8|1_均值</t>
  </si>
  <si>
    <t>键长JSD_JSD_6-8|2_均值</t>
  </si>
  <si>
    <t>原子对距离JSD_JSD_All_12A_均值</t>
  </si>
  <si>
    <t>原子对距离JSD_JSD_CC_2A_均值</t>
  </si>
  <si>
    <t>数据ID</t>
  </si>
  <si>
    <t>2025-12-12 01:49:21</t>
  </si>
  <si>
    <t>2025-12-12 02:09:00</t>
  </si>
  <si>
    <t>result_0_20251212_013054.pt</t>
  </si>
  <si>
    <t>2z3h_A_rec_1wn6_bst_lig_tt_docked_3.sdf</t>
  </si>
  <si>
    <t>data/crossdocked_v1.1_rmsd1.0_pocket10</t>
  </si>
  <si>
    <t>add_aromatic</t>
  </si>
  <si>
    <t>2025-12-12 01:53:26</t>
  </si>
  <si>
    <t>result_1_20251212_013150.pt</t>
  </si>
  <si>
    <t>4aaw_A_rec_4ac3_r83_lig_tt_min_0.sdf</t>
  </si>
  <si>
    <t/>
  </si>
  <si>
    <t>2025-12-12 02:03:46</t>
  </si>
  <si>
    <t>result_10_20251212_013054.pt</t>
  </si>
  <si>
    <t>3dzh_A_rec_3u4i_cvr_lig_tt_docked_0.sdf</t>
  </si>
  <si>
    <t>2025-12-12 02:07:37</t>
  </si>
  <si>
    <t>result_11_20251212_013153.pt</t>
  </si>
  <si>
    <t>3g51_A_rec_3g51_anp_lig_tt_min_0.sdf</t>
  </si>
  <si>
    <t>2025-12-12 02:12:01</t>
  </si>
  <si>
    <t>result_12_20251212_013252.pt</t>
  </si>
  <si>
    <t>1coy_A_rec_1coy_and_lig_tt_docked_0.sdf</t>
  </si>
  <si>
    <t>2025-12-12 02:10:09</t>
  </si>
  <si>
    <t>result_13_20251212_013350.pt</t>
  </si>
  <si>
    <t>2jjg_A_rec_2jjg_plp_lig_tt_min_0.sdf</t>
  </si>
  <si>
    <t>2025-12-12 01:57:40</t>
  </si>
  <si>
    <t>result_14_20251212_013446.pt</t>
  </si>
  <si>
    <t>2rhy_A_rec_2rhy_mlz_lig_tt_min_0.sdf</t>
  </si>
  <si>
    <t>2025-12-12 02:00:00</t>
  </si>
  <si>
    <t>result_15_20251212_013050.pt</t>
  </si>
  <si>
    <t>2pqw_A_rec_2rhy_mlz_lig_tt_min_0.sdf</t>
  </si>
  <si>
    <t>2025-12-12 01:55:14</t>
  </si>
  <si>
    <t>result_16_20251212_013147.pt</t>
  </si>
  <si>
    <t>4g3d_B_rec_4idv_13v_lig_tt_min_0.sdf</t>
  </si>
  <si>
    <t>2025-12-12 02:02:56</t>
  </si>
  <si>
    <t>result_17_20251212_013245.pt</t>
  </si>
  <si>
    <t>5bur_A_rec_5x8f_amp_lig_tt_docked_7.sdf</t>
  </si>
  <si>
    <t>2025-12-12 01:59:04</t>
  </si>
  <si>
    <t>result_18_20251212_013342.pt</t>
  </si>
  <si>
    <t>3gs6_A_rec_2oxn_oan_lig_tt_docked_4.sdf</t>
  </si>
  <si>
    <t>2025-12-12 02:12:13</t>
  </si>
  <si>
    <t>result_19_20251212_013438.pt</t>
  </si>
  <si>
    <t>1r1h_A_rec_1r1h_bir_lig_tt_docked_1.sdf</t>
  </si>
  <si>
    <t>2025-12-12 02:02:06</t>
  </si>
  <si>
    <t>result_2_20251212_013247.pt</t>
  </si>
  <si>
    <t>4yhj_A_rec_4yhj_an2_lig_tt_min_0.sdf</t>
  </si>
  <si>
    <t>2025-12-12 02:09:10</t>
  </si>
  <si>
    <t>result_20_20251212_013053.pt</t>
  </si>
  <si>
    <t>1dxo_C_rec_1gg5_e09_lig_tt_min_0.sdf</t>
  </si>
  <si>
    <t>2025-12-12 02:08:07</t>
  </si>
  <si>
    <t>result_21_20251212_013149.pt</t>
  </si>
  <si>
    <t>1gg5_A_rec_1kbo_340_lig_tt_min_0.sdf</t>
  </si>
  <si>
    <t>2025-12-12 02:29:00</t>
  </si>
  <si>
    <t>result_22_20251212_013248.pt</t>
  </si>
  <si>
    <t>5q0k_A_rec_5q0q_9ld_lig_tt_docked_0.sdf</t>
  </si>
  <si>
    <t>2025-12-12 01:59:50</t>
  </si>
  <si>
    <t>result_23_20251212_013343.pt</t>
  </si>
  <si>
    <t>5b08_A_rec_5b09_4mx_lig_tt_min_0.sdf</t>
  </si>
  <si>
    <t>2025-12-12 01:58:42</t>
  </si>
  <si>
    <t>result_24_20251212_013439.pt</t>
  </si>
  <si>
    <t>2azy_A_rec_2azy_chd_lig_tt_docked_0.sdf</t>
  </si>
  <si>
    <t>2025-12-12 01:56:32</t>
  </si>
  <si>
    <t>result_3_20251212_013341.pt</t>
  </si>
  <si>
    <t>14gs_A_rec_20gs_cbd_lig_tt_min_0.sdf</t>
  </si>
  <si>
    <t>2025-12-12 02:05:22</t>
  </si>
  <si>
    <t>result_4_20251212_013439.pt</t>
  </si>
  <si>
    <t>2v3r_A_rec_1dy4_snp_lig_tt_docked_1.sdf</t>
  </si>
  <si>
    <t>2025-12-12 01:57:02</t>
  </si>
  <si>
    <t>result_5_20251212_013051.pt</t>
  </si>
  <si>
    <t>4rn0_B_rec_4rn1_l8g_lig_tt_min_0.sdf</t>
  </si>
  <si>
    <t>2025-12-12 01:58:52</t>
  </si>
  <si>
    <t>result_6_20251212_013148.pt</t>
  </si>
  <si>
    <t>1fmc_B_rec_1fmc_cho_lig_tt_docked_1.sdf</t>
  </si>
  <si>
    <t>2025-12-12 02:13:55</t>
  </si>
  <si>
    <t>result_7_20251212_013250.pt</t>
  </si>
  <si>
    <t>3daf_A_rec_3daf_feg_lig_tt_docked_0.sdf</t>
  </si>
  <si>
    <t>2025-12-12 01:59:30</t>
  </si>
  <si>
    <t>result_8_20251212_013349.pt</t>
  </si>
  <si>
    <t>1a2g_A_rec_4jmv_1ly_lig_tt_min_0.sdf</t>
  </si>
  <si>
    <t>2025-12-12 02:20:20</t>
  </si>
  <si>
    <t>result_9_20251212_013447.pt</t>
  </si>
  <si>
    <t>5w2g_A_rec_5w2i_adp_lig_tt_min_0.sdf</t>
  </si>
  <si>
    <t>2025-12-12 01:53:35</t>
  </si>
  <si>
    <t>2025-12-12 02:05:41</t>
  </si>
  <si>
    <t>result_25_20251212_013051.pt</t>
  </si>
  <si>
    <t>5i0b_A_rec_5vef_m77_lig_tt_min_0.sdf</t>
  </si>
  <si>
    <t>2025-12-12 01:55:27</t>
  </si>
  <si>
    <t>2025-12-12 02:20:57</t>
  </si>
  <si>
    <t>result_26_20251212_013149.pt</t>
  </si>
  <si>
    <t>1phk_A_rec_1phk_atp_lig_tt_min_0.sdf</t>
  </si>
  <si>
    <t>2025-12-12 01:56:42</t>
  </si>
  <si>
    <t>2025-12-12 02:29:06</t>
  </si>
  <si>
    <t>result_27_20251212_013245.pt</t>
  </si>
  <si>
    <t>4keu_A_rec_4ket_pg4_lig_tt_min_0.sdf</t>
  </si>
  <si>
    <t>2025-12-12 01:57:14</t>
  </si>
  <si>
    <t>2025-12-12 02:06:25</t>
  </si>
  <si>
    <t>result_28_20251212_013338.pt</t>
  </si>
  <si>
    <t>4q8b_B_rec_4q8b_sxx_lig_tt_min_0.sdf</t>
  </si>
  <si>
    <t>2025-12-12 01:57:55</t>
  </si>
  <si>
    <t>2025-12-12 02:05:40</t>
  </si>
  <si>
    <t>result_29_20251212_013432.pt</t>
  </si>
  <si>
    <t>1djy_A_rec_1djz_ip2_lig_tt_min_0.sdf</t>
  </si>
  <si>
    <t>2025-12-12 01:58:51</t>
  </si>
  <si>
    <t>2025-12-12 02:16:07</t>
  </si>
  <si>
    <t>result_30_20251212_013529.pt</t>
  </si>
  <si>
    <t>5l1v_A_rec_5l1v_7pf_lig_tt_docked_0.sdf</t>
  </si>
  <si>
    <t>2025-12-12 01:59:03</t>
  </si>
  <si>
    <t>2025-12-12 02:27:30</t>
  </si>
  <si>
    <t>result_31_20251212_013635.pt</t>
  </si>
  <si>
    <t>4zfa_A_rec_1smj_pam_lig_tt_min_0.sdf</t>
  </si>
  <si>
    <t>2025-12-12 01:59:13</t>
  </si>
  <si>
    <t>2025-12-12 02:26:44</t>
  </si>
  <si>
    <t>result_32_20251212_013733.pt</t>
  </si>
  <si>
    <t>2rma_A_rec_3rdd_ea4_lig_tt_docked_0.sdf</t>
  </si>
  <si>
    <t>2025-12-12 01:59:41</t>
  </si>
  <si>
    <t>2025-12-12 02:19:17</t>
  </si>
  <si>
    <t>result_33_20251212_013832.pt</t>
  </si>
  <si>
    <t>3b6h_A_rec_3b6h_mxd_lig_tt_min_0.sdf</t>
  </si>
  <si>
    <t>2025-12-12 01:59:59</t>
  </si>
  <si>
    <t>2025-12-12 02:05:48</t>
  </si>
  <si>
    <t>result_34_20251212_013938.pt</t>
  </si>
  <si>
    <t>2zen_A_rec_2afx_1bn_lig_tt_docked_7.sdf</t>
  </si>
  <si>
    <t>2025-12-12 02:00:11</t>
  </si>
  <si>
    <t>2025-12-12 02:11:02</t>
  </si>
  <si>
    <t>result_35_20251212_013535.pt</t>
  </si>
  <si>
    <t>4p6p_A_rec_4p77_5rp_lig_tt_docked_0.sdf</t>
  </si>
  <si>
    <t>2025-12-12 02:02:17</t>
  </si>
  <si>
    <t>2025-12-12 02:33:00</t>
  </si>
  <si>
    <t>result_36_20251212_013632.pt</t>
  </si>
  <si>
    <t>3u5y_B_rec_3u57_dh8_lig_tt_min_0.sdf</t>
  </si>
  <si>
    <t>2025-12-12 02:03:08</t>
  </si>
  <si>
    <t>2025-12-12 02:23:32</t>
  </si>
  <si>
    <t>result_37_20251212_013730.pt</t>
  </si>
  <si>
    <t>4f1m_A_rec_4f1m_acp_lig_tt_min_0.sdf</t>
  </si>
  <si>
    <t>2025-12-12 02:03:59</t>
  </si>
  <si>
    <t>2025-12-12 02:15:26</t>
  </si>
  <si>
    <t>result_38_20251212_013822.pt</t>
  </si>
  <si>
    <t>4tqr_A_rec_2xca_doc_lig_tt_min_0.sdf</t>
  </si>
  <si>
    <t>2025-12-12 02:05:33</t>
  </si>
  <si>
    <t>2025-12-12 02:16:31</t>
  </si>
  <si>
    <t>result_39_20251212_013919.pt</t>
  </si>
  <si>
    <t>4lfu_A_rec_4y13_480_lig_tt_min_0.sdf</t>
  </si>
  <si>
    <t>2025-12-12 02:05:49</t>
  </si>
  <si>
    <t>2025-12-12 02:21:05</t>
  </si>
  <si>
    <t>result_40_20251212_013534.pt</t>
  </si>
  <si>
    <t>3jyh_A_rec_3n0t_opy_lig_tt_min_0.sdf</t>
  </si>
  <si>
    <t>2025-12-12 02:05:51</t>
  </si>
  <si>
    <t>2025-12-12 02:37:53</t>
  </si>
  <si>
    <t>result_41_20251212_013631.pt</t>
  </si>
  <si>
    <t>4iwq_A_rec_4jlc_su6_lig_tt_min_0.sdf</t>
  </si>
  <si>
    <t>2025-12-12 02:05:58</t>
  </si>
  <si>
    <t>2025-12-12 02:14:45</t>
  </si>
  <si>
    <t>result_42_20251212_013730.pt</t>
  </si>
  <si>
    <t>1l3l_A_rec_1l3l_lae_lig_tt_min_0.sdf</t>
  </si>
  <si>
    <t>2025-12-12 02:06:39</t>
  </si>
  <si>
    <t>2025-12-12 02:14:36</t>
  </si>
  <si>
    <t>result_43_20251212_013824.pt</t>
  </si>
  <si>
    <t>5ngz_A_rec_5ngz_2bg_lig_tt_min_0.sdf</t>
  </si>
  <si>
    <t>2025-12-12 02:07:51</t>
  </si>
  <si>
    <t>2025-12-12 02:41:03</t>
  </si>
  <si>
    <t>result_44_20251212_013921.pt</t>
  </si>
  <si>
    <t>1e8h_A_rec_1e8h_adp_lig_tt_min_0.sdf</t>
  </si>
  <si>
    <t>2025-12-12 02:08:20</t>
  </si>
  <si>
    <t>2025-12-12 02:26:58</t>
  </si>
  <si>
    <t>result_45_20251212_013535.pt</t>
  </si>
  <si>
    <t>2e24_A_rec_1j0n_ceg_lig_tt_docked_14.sdf</t>
  </si>
  <si>
    <t>2025-12-12 02:16:57</t>
  </si>
  <si>
    <t>result_46_20251212_013628.pt</t>
  </si>
  <si>
    <t>2hcj_B_rec_2hcj_gdp_lig_tt_docked_0.sdf</t>
  </si>
  <si>
    <t>2025-12-12 02:09:22</t>
  </si>
  <si>
    <t>2025-12-12 02:17:54</t>
  </si>
  <si>
    <t>result_47_20251212_013722.pt</t>
  </si>
  <si>
    <t>3kc1_A_rec_3kc1_2t6_lig_tt_min_0.sdf</t>
  </si>
  <si>
    <t>2025-12-12 02:10:23</t>
  </si>
  <si>
    <t>2025-12-12 02:22:43</t>
  </si>
  <si>
    <t>result_48_20251212_013820.pt</t>
  </si>
  <si>
    <t>1d7j_A_rec_1tco_fk5_lig_tt_docked_0.sdf</t>
  </si>
  <si>
    <t>2025-12-12 02:11:14</t>
  </si>
  <si>
    <t>2025-12-12 02:22:54</t>
  </si>
  <si>
    <t>result_49_20251212_013919.pt</t>
  </si>
  <si>
    <t>4ja8_B_rec_4ja8_1k9_lig_tt_docked_0.sdf</t>
  </si>
  <si>
    <t>2025-12-12 02:12:15</t>
  </si>
  <si>
    <t>2025-12-12 02:21:43</t>
  </si>
  <si>
    <t>result_50_20251212_013540.pt</t>
  </si>
  <si>
    <t>4u5s_A_rec_4u54_3c5_lig_tt_min_0.sdf</t>
  </si>
  <si>
    <t>2025-12-12 02:12:23</t>
  </si>
  <si>
    <t>2025-12-12 02:31:51</t>
  </si>
  <si>
    <t>result_51_20251212_013640.pt</t>
  </si>
  <si>
    <t>4iiy_A_rec_3tle_gsu_lig_tt_docked_12.sdf</t>
  </si>
  <si>
    <t>2025-12-12 02:14:07</t>
  </si>
  <si>
    <t>2025-12-12 02:40:55</t>
  </si>
  <si>
    <t>result_52_20251212_013734.pt</t>
  </si>
  <si>
    <t>3v4t_A_rec_4e7f_udp_lig_tt_min_0.sdf</t>
  </si>
  <si>
    <t>2025-12-12 02:39:38</t>
  </si>
  <si>
    <t>result_53_20251212_013828.pt</t>
  </si>
  <si>
    <t>3tym_A_rec_3n5v_xfh_lig_tt_min_0.sdf</t>
  </si>
  <si>
    <t>2025-12-12 02:14:53</t>
  </si>
  <si>
    <t>2025-12-12 02:40:30</t>
  </si>
  <si>
    <t>result_54_20251212_013924.pt</t>
  </si>
  <si>
    <t>4d7o_A_rec_3n5z_xfm_lig_tt_min_0.sdf</t>
  </si>
  <si>
    <t>2025-12-12 02:15:39</t>
  </si>
  <si>
    <t>2025-12-12 02:25:33</t>
  </si>
  <si>
    <t>result_55_20251212_013551.pt</t>
  </si>
  <si>
    <t>3ej8_A_rec_2nsi_itu_lig_tt_min_0.sdf</t>
  </si>
  <si>
    <t>2025-12-12 02:16:18</t>
  </si>
  <si>
    <t>2025-12-12 02:25:07</t>
  </si>
  <si>
    <t>result_56_20251212_013648.pt</t>
  </si>
  <si>
    <t>1rs9_A_rec_1dmk_itu_lig_tt_min_0.sdf</t>
  </si>
  <si>
    <t>2025-12-12 02:16:40</t>
  </si>
  <si>
    <t>2025-12-12 02:35:58</t>
  </si>
  <si>
    <t>result_57_20251212_013748.pt</t>
  </si>
  <si>
    <t>4kcq_A_rec_4cwv_hw8_lig_tt_min_0.sdf</t>
  </si>
  <si>
    <t>2025-12-12 02:17:11</t>
  </si>
  <si>
    <t>2025-12-12 02:28:39</t>
  </si>
  <si>
    <t>result_58_20251212_013852.pt</t>
  </si>
  <si>
    <t>3pdh_A_rec_4buz_ocz_lig_tt_min_0.sdf</t>
  </si>
  <si>
    <t>2025-12-12 02:18:04</t>
  </si>
  <si>
    <t>2025-12-12 02:33:37</t>
  </si>
  <si>
    <t>result_59_20251212_014010.pt</t>
  </si>
  <si>
    <t>1umd_B_rec_1umb_tdp_lig_tt_docked_1.sdf</t>
  </si>
  <si>
    <t>2025-12-12 02:19:28</t>
  </si>
  <si>
    <t>2025-12-12 02:57:56</t>
  </si>
  <si>
    <t>result_60_20251212_014019.pt</t>
  </si>
  <si>
    <t>4pxz_A_rec_4pxz_6ad_lig_tt_min_0.sdf</t>
  </si>
  <si>
    <t>2025-12-12 02:20:32</t>
  </si>
  <si>
    <t>2025-12-12 02:25:02</t>
  </si>
  <si>
    <t>result_61_20251212_014137.pt</t>
  </si>
  <si>
    <t>2gns_A_rec_4qer_stl_lig_tt_min_0.sdf</t>
  </si>
  <si>
    <t>2025-12-12 02:35:21</t>
  </si>
  <si>
    <t>result_62_20251212_014315.pt</t>
  </si>
  <si>
    <t>1ai4_A_rec_1ai5_mnp_lig_tt_docked_0.sdf</t>
  </si>
  <si>
    <t>2025-12-12 02:21:15</t>
  </si>
  <si>
    <t>2025-12-12 02:38:29</t>
  </si>
  <si>
    <t>result_63_20251212_014446.pt</t>
  </si>
  <si>
    <t>5mma_A_rec_4ztf_x2p_lig_tt_min_0.sdf</t>
  </si>
  <si>
    <t>2025-12-12 02:21:57</t>
  </si>
  <si>
    <t>2025-12-12 02:35:18</t>
  </si>
  <si>
    <t>result_64_20251212_014601.pt</t>
  </si>
  <si>
    <t>2cy0_A_rec_2d5c_skm_lig_tt_min_0.sdf</t>
  </si>
  <si>
    <t>2025-12-12 02:22:57</t>
  </si>
  <si>
    <t>2025-12-12 02:37:16</t>
  </si>
  <si>
    <t>result_65_20251212_014034.pt</t>
  </si>
  <si>
    <t>3w83_B_rec_2e6d_fum_lig_tt_min_0.sdf</t>
  </si>
  <si>
    <t>2025-12-12 02:23:05</t>
  </si>
  <si>
    <t>2025-12-12 02:29:59</t>
  </si>
  <si>
    <t>result_66_20251212_014133.pt</t>
  </si>
  <si>
    <t>2e6d_A_rec_2e6d_fum_lig_tt_min_0.sdf</t>
  </si>
  <si>
    <t>2025-12-12 02:23:43</t>
  </si>
  <si>
    <t>2025-12-12 02:35:26</t>
  </si>
  <si>
    <t>result_67_20251212_014231.pt</t>
  </si>
  <si>
    <t>4rv4_A_rec_4rv4_prp_lig_tt_docked_2.sdf</t>
  </si>
  <si>
    <t>2025-12-12 02:25:13</t>
  </si>
  <si>
    <t>2025-12-12 02:41:40</t>
  </si>
  <si>
    <t>result_68_20251212_014403.pt</t>
  </si>
  <si>
    <t>5d7n_D_rec_4jt9_1ns_lig_tt_min_0.sdf</t>
  </si>
  <si>
    <t>2025-12-12 02:25:16</t>
  </si>
  <si>
    <t>2025-12-12 02:31:13</t>
  </si>
  <si>
    <t>result_69_20251212_014515.pt</t>
  </si>
  <si>
    <t>5mgl_A_rec_5mgl_7mu_lig_tt_min_0.sdf</t>
  </si>
  <si>
    <t>2025-12-12 02:25:46</t>
  </si>
  <si>
    <t>2025-12-12 02:48:07</t>
  </si>
  <si>
    <t>result_70_20251212_014024.pt</t>
  </si>
  <si>
    <t>1h36_A_rec_1o79_r23_lig_tt_docked_5.sdf</t>
  </si>
  <si>
    <t>2025-12-12 02:26:56</t>
  </si>
  <si>
    <t>2025-12-12 02:33:38</t>
  </si>
  <si>
    <t>result_71_20251212_014116.pt</t>
  </si>
  <si>
    <t>4gvd_A_rec_4nxr_ans_lig_tt_min_0.sdf</t>
  </si>
  <si>
    <t>2025-12-12 02:27:07</t>
  </si>
  <si>
    <t>2025-12-12 02:47:35</t>
  </si>
  <si>
    <t>result_72_20251212_014217.pt</t>
  </si>
  <si>
    <t>4tos_A_rec_4tos_355_lig_tt_min_0.sdf</t>
  </si>
  <si>
    <t>2025-12-12 02:27:45</t>
  </si>
  <si>
    <t>2025-12-12 02:33:54</t>
  </si>
  <si>
    <t>result_73_20251212_014318.pt</t>
  </si>
  <si>
    <t>5aeh_A_rec_5aeh_8ir_lig_tt_docked_0.sdf</t>
  </si>
  <si>
    <t>2025-12-12 02:28:51</t>
  </si>
  <si>
    <t>2025-12-12 02:42:15</t>
  </si>
  <si>
    <t>result_74_20251212_014431.pt</t>
  </si>
  <si>
    <t>4h3c_A_rec_5cqj_53q_lig_tt_docked_2.sdf</t>
  </si>
  <si>
    <t>2025-12-12 02:29:08</t>
  </si>
  <si>
    <t>2025-12-12 02:49:38</t>
  </si>
  <si>
    <t>result_75_20251212_014025.pt</t>
  </si>
  <si>
    <t>4rlu_A_rec_4rlu_hcc_lig_tt_min_0.sdf</t>
  </si>
  <si>
    <t>2025-12-12 02:30:12</t>
  </si>
  <si>
    <t>2025-12-12 02:45:04</t>
  </si>
  <si>
    <t>result_76_20251212_014124.pt</t>
  </si>
  <si>
    <t>4xli_B_rec_4xli_1n1_lig_tt_min_0.sdf</t>
  </si>
  <si>
    <t>2025-12-12 02:30:15</t>
  </si>
  <si>
    <t>2025-12-12 02:36:14</t>
  </si>
  <si>
    <t>result_77_20251212_014218.pt</t>
  </si>
  <si>
    <t>3l3n_A_rec_2iux_nxa_lig_tt_docked_2.sdf</t>
  </si>
  <si>
    <t>2025-12-12 02:31:25</t>
  </si>
  <si>
    <t>2025-12-12 02:38:56</t>
  </si>
  <si>
    <t>result_78_20251212_014313.pt</t>
  </si>
  <si>
    <t>5tjn_A_rec_1zj1_nlc_lig_tt_docked_4.sdf</t>
  </si>
  <si>
    <t>2025-12-12 02:32:05</t>
  </si>
  <si>
    <t>2025-12-12 02:48:49</t>
  </si>
  <si>
    <t>result_79_20251212_014409.pt</t>
  </si>
  <si>
    <t>5liu_X_rec_4gq0_qap_lig_tt_min_0.sdf</t>
  </si>
  <si>
    <t>2025-12-12 02:33:12</t>
  </si>
  <si>
    <t>2025-12-12 03:04:27</t>
  </si>
  <si>
    <t>result_80_20251212_014035.pt</t>
  </si>
  <si>
    <t>3o96_A_rec_3o96_iqo_lig_tt_docked_2.sdf</t>
  </si>
  <si>
    <t>2025-12-12 02:33:47</t>
  </si>
  <si>
    <t>2025-12-12 03:07:43</t>
  </si>
  <si>
    <t>result_81_20251212_014135.pt</t>
  </si>
  <si>
    <t>4qlk_A_rec_4qlk_ctt_lig_tt_docked_0.sdf</t>
  </si>
  <si>
    <t>2025-12-12 02:49:41</t>
  </si>
  <si>
    <t>result_82_20251212_014229.pt</t>
  </si>
  <si>
    <t>3hy9_B_rec_3hyg_099_lig_tt_min_0.sdf</t>
  </si>
  <si>
    <t>2025-12-12 02:34:05</t>
  </si>
  <si>
    <t>2025-12-12 03:07:16</t>
  </si>
  <si>
    <t>result_83_20251212_014329.pt</t>
  </si>
  <si>
    <t>4bel_A_rec_2ewy_dbo_lig_tt_min_0.sdf</t>
  </si>
  <si>
    <t>2025-12-12 02:35:30</t>
  </si>
  <si>
    <t>2025-12-12 02:44:09</t>
  </si>
  <si>
    <t>result_84_20251212_014431.pt</t>
  </si>
  <si>
    <t>3nfb_A_rec_3nfb_oae_lig_tt_docked_2.sdf</t>
  </si>
  <si>
    <t>2025-12-12 02:56:11</t>
  </si>
  <si>
    <t>result_85_20251212_014128.pt</t>
  </si>
  <si>
    <t>4m7t_A_rec_4m7t_sam_lig_tt_min_0.sdf</t>
  </si>
  <si>
    <t>2025-12-12 02:36:10</t>
  </si>
  <si>
    <t>2025-12-12 02:47:45</t>
  </si>
  <si>
    <t>result_86_20251212_014302.pt</t>
  </si>
  <si>
    <t>3u9f_C_rec_3u9f_clm_lig_tt_min_0.sdf</t>
  </si>
  <si>
    <t>2025-12-12 02:36:24</t>
  </si>
  <si>
    <t>2025-12-12 02:47:13</t>
  </si>
  <si>
    <t>result_87_20251212_014426.pt</t>
  </si>
  <si>
    <t>4aua_A_rec_4aua_4au_lig_it2_tt_docked_7.sdf</t>
  </si>
  <si>
    <t>2025-12-12 02:36:36</t>
  </si>
  <si>
    <t>2025-12-12 02:51:01</t>
  </si>
  <si>
    <t>result_88_20251212_014541.pt</t>
  </si>
  <si>
    <t>2f2c_B_rec_1xo2_fse_lig_tt_min_0.sdf</t>
  </si>
  <si>
    <t>2025-12-12 02:37:28</t>
  </si>
  <si>
    <t>2025-12-12 02:47:56</t>
  </si>
  <si>
    <t>result_89_20251212_014636.pt</t>
  </si>
  <si>
    <t>3chc_B_rec_3ch9_xrg_lig_tt_min_0.sdf</t>
  </si>
  <si>
    <t>2025-12-12 02:38:06</t>
  </si>
  <si>
    <t>2025-12-12 02:45:18</t>
  </si>
  <si>
    <t>result_90_20251212_014508.pt</t>
  </si>
  <si>
    <t>1k9t_A_rec_2wlz_dio_lig_tt_min_0.sdf</t>
  </si>
  <si>
    <t>2025-12-12 02:38:42</t>
  </si>
  <si>
    <t>2025-12-12 02:54:28</t>
  </si>
  <si>
    <t>result_91_20251212_014603.pt</t>
  </si>
  <si>
    <t>1h0i_A_rec_1e6z_ngo_lig_it2_tt_docked_15.sdf</t>
  </si>
  <si>
    <t>2025-12-12 02:39:07</t>
  </si>
  <si>
    <t>2025-12-12 03:08:27</t>
  </si>
  <si>
    <t>result_92_20251212_014703.pt</t>
  </si>
  <si>
    <t>4z2g_A_rec_4z2g_m6v_lig_tt_docked_16.sdf</t>
  </si>
  <si>
    <t>2025-12-12 02:39:53</t>
  </si>
  <si>
    <t>2025-12-12 02:51:03</t>
  </si>
  <si>
    <t>result_93_20251212_014759.pt</t>
  </si>
  <si>
    <t>3af2_A_rec_3af4_gcp_lig_tt_min_0.sdf</t>
  </si>
  <si>
    <t>2025-12-12 02:40:45</t>
  </si>
  <si>
    <t>2025-12-12 02:46:53</t>
  </si>
  <si>
    <t>result_94_20251212_014854.pt</t>
  </si>
  <si>
    <t>1jn2_P_rec_1val_png_lig_tt_docked_11.sdf</t>
  </si>
  <si>
    <t>2025-12-12 02:41:04</t>
  </si>
  <si>
    <t>2025-12-12 02:51:52</t>
  </si>
  <si>
    <t>result_95_20251212_014530.pt</t>
  </si>
  <si>
    <t>3li4_A_rec_2gvv_di9_lig_tt_min_0.sdf</t>
  </si>
  <si>
    <t>2025-12-12 02:41:14</t>
  </si>
  <si>
    <t>2025-12-12 02:48:02</t>
  </si>
  <si>
    <t>result_96_20251212_014626.pt</t>
  </si>
  <si>
    <t>3pnm_A_rec_3pnq_2ha_lig_tt_docked_10.sdf</t>
  </si>
  <si>
    <t>2025-12-12 02:41:49</t>
  </si>
  <si>
    <t>2025-12-12 02:54:39</t>
  </si>
  <si>
    <t>result_97_20251212_014723.pt</t>
  </si>
  <si>
    <t>1afs_A_rec_1afs_tes_lig_tt_min_0.sdf</t>
  </si>
  <si>
    <t>2025-12-12 02:42:27</t>
  </si>
  <si>
    <t>2025-12-12 02:58:54</t>
  </si>
  <si>
    <t>result_98_20251212_014820.pt</t>
  </si>
  <si>
    <t>4azf_A_rec_5lxc_7aa_lig_tt_min_0.sdf</t>
  </si>
  <si>
    <t>2025-12-12 02:44:23</t>
  </si>
  <si>
    <t>2025-12-12 02:51:43</t>
  </si>
  <si>
    <t>result_99_20251212_014915.pt</t>
  </si>
  <si>
    <t>2pc8_A_rec_1eqc_cts_lig_tt_docked_6.sdf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</si>
</sst>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3"/>
  <sheetViews>
    <sheetView tabSelected="1" topLeftCell="A55" workbookViewId="0">
      <selection activeCell="N103" sqref="N103"/>
    </sheetView>
  </sheetViews>
  <sheetFormatPr defaultColWidth="9" defaultRowHeight="13.5"/>
  <cols>
    <col min="3" max="3" width="12.625"/>
    <col min="16" max="16" width="13.75"/>
    <col min="17" max="17" width="11.5"/>
    <col min="21" max="21" width="13.75"/>
    <col min="23" max="23" width="13.75"/>
    <col min="25" max="25" width="11.5"/>
    <col min="26" max="27" width="12.625"/>
    <col min="29" max="39" width="12.625"/>
    <col min="40" max="40" width="11.5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="1" customFormat="1" spans="1:41">
      <c r="A2" s="1" t="s">
        <v>41</v>
      </c>
      <c r="B2" s="1" t="s">
        <v>42</v>
      </c>
      <c r="C2" s="1">
        <v>1179.129184</v>
      </c>
      <c r="D2" s="1" t="s">
        <v>43</v>
      </c>
      <c r="E2" s="1" t="s">
        <v>44</v>
      </c>
      <c r="F2" s="1" t="s">
        <v>45</v>
      </c>
      <c r="G2" s="1" t="s">
        <v>46</v>
      </c>
      <c r="H2" s="1">
        <v>8</v>
      </c>
      <c r="I2" s="1">
        <v>64</v>
      </c>
      <c r="J2" s="1">
        <v>60</v>
      </c>
      <c r="K2" s="1">
        <v>93.75</v>
      </c>
      <c r="L2" s="1">
        <v>31</v>
      </c>
      <c r="M2" s="1">
        <v>48.4375</v>
      </c>
      <c r="N2" s="1">
        <v>31</v>
      </c>
      <c r="O2" s="1">
        <v>48.4375</v>
      </c>
      <c r="P2" s="1">
        <v>-8.74454838709677</v>
      </c>
      <c r="Q2" s="1">
        <f>PRODUCT(N2,P2)</f>
        <v>-271.081</v>
      </c>
      <c r="R2" s="1">
        <v>-8.464</v>
      </c>
      <c r="S2" s="1">
        <v>-10.983</v>
      </c>
      <c r="T2" s="1">
        <v>-6.936</v>
      </c>
      <c r="U2" s="1">
        <v>-7.11164516129032</v>
      </c>
      <c r="V2" s="1">
        <v>-7.007</v>
      </c>
      <c r="W2" s="1">
        <v>-7.42635483870968</v>
      </c>
      <c r="X2" s="1">
        <v>-7.562</v>
      </c>
      <c r="Y2" s="1">
        <v>0.179140550154061</v>
      </c>
      <c r="Z2" s="1">
        <v>0.14025210799674</v>
      </c>
      <c r="AA2" s="1">
        <v>0.559830508474576</v>
      </c>
      <c r="AB2" s="1">
        <v>0.56</v>
      </c>
      <c r="AC2" s="1">
        <v>0.147101921351482</v>
      </c>
      <c r="AD2" s="1">
        <v>0.142233050633239</v>
      </c>
      <c r="AE2" s="1">
        <v>0.740844404633508</v>
      </c>
      <c r="AF2" s="1">
        <v>0.813326437634416</v>
      </c>
      <c r="AG2" s="1">
        <v>0.816090392248508</v>
      </c>
      <c r="AH2" s="1">
        <v>0.79463872757893</v>
      </c>
      <c r="AI2" s="1">
        <v>0.820466987125528</v>
      </c>
      <c r="AJ2" s="1">
        <v>0.832533823895834</v>
      </c>
      <c r="AK2" s="1">
        <v>0.804279314525022</v>
      </c>
      <c r="AL2" s="1">
        <v>0.812174574088901</v>
      </c>
      <c r="AM2" s="1">
        <v>0.265527373079811</v>
      </c>
      <c r="AN2" s="1">
        <v>0.635860989993327</v>
      </c>
      <c r="AO2" s="1">
        <v>0</v>
      </c>
    </row>
    <row r="3" s="1" customFormat="1" spans="1:41">
      <c r="A3" s="1" t="s">
        <v>41</v>
      </c>
      <c r="B3" s="1" t="s">
        <v>47</v>
      </c>
      <c r="C3" s="1">
        <v>245.826713</v>
      </c>
      <c r="D3" s="1" t="s">
        <v>48</v>
      </c>
      <c r="E3" s="1" t="s">
        <v>49</v>
      </c>
      <c r="F3" s="1" t="s">
        <v>45</v>
      </c>
      <c r="G3" s="1" t="s">
        <v>46</v>
      </c>
      <c r="H3" s="1">
        <v>8</v>
      </c>
      <c r="I3" s="1">
        <v>64</v>
      </c>
      <c r="J3" s="1">
        <v>64</v>
      </c>
      <c r="K3" s="1">
        <v>100</v>
      </c>
      <c r="L3" s="1">
        <v>10</v>
      </c>
      <c r="M3" s="1">
        <v>15.625</v>
      </c>
      <c r="N3" s="1">
        <v>10</v>
      </c>
      <c r="O3" s="1">
        <v>15.625</v>
      </c>
      <c r="P3" s="1">
        <v>-5.8872</v>
      </c>
      <c r="Q3" s="1">
        <f t="shared" ref="Q3:Q34" si="0">PRODUCT(N3,P3)</f>
        <v>-58.872</v>
      </c>
      <c r="R3" s="1">
        <v>-5.5345</v>
      </c>
      <c r="S3" s="1">
        <v>-8.654</v>
      </c>
      <c r="T3" s="1">
        <v>-4.451</v>
      </c>
      <c r="U3" s="1">
        <v>-4.7968</v>
      </c>
      <c r="V3" s="1">
        <v>-4.808</v>
      </c>
      <c r="W3" s="1">
        <v>-4.9697</v>
      </c>
      <c r="X3" s="1">
        <v>-5.0415</v>
      </c>
      <c r="Y3" s="1">
        <v>0.359195181460846</v>
      </c>
      <c r="Z3" s="1">
        <v>0.322507886535384</v>
      </c>
      <c r="AA3" s="1">
        <v>0.6596875</v>
      </c>
      <c r="AB3" s="1">
        <v>0.67</v>
      </c>
      <c r="AC3" s="1">
        <v>0.233871466564172</v>
      </c>
      <c r="AD3" s="1">
        <v>0.241961623508344</v>
      </c>
      <c r="AE3" s="1">
        <v>0.775843697891379</v>
      </c>
      <c r="AF3" s="1">
        <v>0.802569244358702</v>
      </c>
      <c r="AG3" s="1" t="s">
        <v>50</v>
      </c>
      <c r="AH3" s="1">
        <v>0.810883146442581</v>
      </c>
      <c r="AI3" s="1" t="s">
        <v>50</v>
      </c>
      <c r="AJ3" s="1" t="s">
        <v>50</v>
      </c>
      <c r="AK3" s="1">
        <v>0.801306428407175</v>
      </c>
      <c r="AL3" s="1">
        <v>0.829241407776999</v>
      </c>
      <c r="AM3" s="1">
        <v>0.40786815593105</v>
      </c>
      <c r="AN3" s="1">
        <v>0.680476166560131</v>
      </c>
      <c r="AO3" s="1">
        <v>1</v>
      </c>
    </row>
    <row r="4" s="1" customFormat="1" spans="1:41">
      <c r="A4" s="1" t="s">
        <v>41</v>
      </c>
      <c r="B4" s="1" t="s">
        <v>51</v>
      </c>
      <c r="C4" s="1">
        <v>864.996528</v>
      </c>
      <c r="D4" s="1" t="s">
        <v>52</v>
      </c>
      <c r="E4" s="1" t="s">
        <v>53</v>
      </c>
      <c r="F4" s="1" t="s">
        <v>45</v>
      </c>
      <c r="G4" s="1" t="s">
        <v>46</v>
      </c>
      <c r="H4" s="1">
        <v>8</v>
      </c>
      <c r="I4" s="1">
        <v>64</v>
      </c>
      <c r="J4" s="1">
        <v>63</v>
      </c>
      <c r="K4" s="1">
        <v>98.4375</v>
      </c>
      <c r="L4" s="1">
        <v>20</v>
      </c>
      <c r="M4" s="1">
        <v>31.25</v>
      </c>
      <c r="N4" s="1">
        <v>20</v>
      </c>
      <c r="O4" s="1">
        <v>31.25</v>
      </c>
      <c r="P4" s="1">
        <v>-8.50665</v>
      </c>
      <c r="Q4" s="1">
        <f t="shared" si="0"/>
        <v>-170.133</v>
      </c>
      <c r="R4" s="1">
        <v>-8.4935</v>
      </c>
      <c r="S4" s="1">
        <v>-9.915</v>
      </c>
      <c r="T4" s="1">
        <v>-6.464</v>
      </c>
      <c r="U4" s="1">
        <v>-6.24325</v>
      </c>
      <c r="V4" s="1">
        <v>-6.2975</v>
      </c>
      <c r="W4" s="1">
        <v>-6.5213</v>
      </c>
      <c r="X4" s="1">
        <v>-6.575</v>
      </c>
      <c r="Y4" s="1">
        <v>0.164103196881986</v>
      </c>
      <c r="Z4" s="1">
        <v>0.145397827399953</v>
      </c>
      <c r="AA4" s="1">
        <v>0.535873015873016</v>
      </c>
      <c r="AB4" s="1">
        <v>0.53</v>
      </c>
      <c r="AC4" s="1">
        <v>0.176774690225307</v>
      </c>
      <c r="AD4" s="1">
        <v>0.174280736782848</v>
      </c>
      <c r="AE4" s="1">
        <v>0.742322364663714</v>
      </c>
      <c r="AF4" s="1">
        <v>0.811483922139677</v>
      </c>
      <c r="AG4" s="1">
        <v>0.831632381981415</v>
      </c>
      <c r="AH4" s="1">
        <v>0.789511845741654</v>
      </c>
      <c r="AI4" s="1">
        <v>0.815294705034025</v>
      </c>
      <c r="AJ4" s="1">
        <v>0.80491602808073</v>
      </c>
      <c r="AK4" s="1">
        <v>0.812345374768915</v>
      </c>
      <c r="AL4" s="1">
        <v>0.801448088332409</v>
      </c>
      <c r="AM4" s="1">
        <v>0.248725064345001</v>
      </c>
      <c r="AN4" s="1">
        <v>0.640931166410061</v>
      </c>
      <c r="AO4" s="1">
        <v>10</v>
      </c>
    </row>
    <row r="5" s="1" customFormat="1" spans="1:41">
      <c r="A5" s="1" t="s">
        <v>41</v>
      </c>
      <c r="B5" s="1" t="s">
        <v>54</v>
      </c>
      <c r="C5" s="1">
        <v>1096.048569</v>
      </c>
      <c r="D5" s="1" t="s">
        <v>55</v>
      </c>
      <c r="E5" s="1" t="s">
        <v>56</v>
      </c>
      <c r="F5" s="1" t="s">
        <v>45</v>
      </c>
      <c r="G5" s="1" t="s">
        <v>46</v>
      </c>
      <c r="H5" s="1">
        <v>8</v>
      </c>
      <c r="I5" s="1">
        <v>64</v>
      </c>
      <c r="J5" s="1">
        <v>63</v>
      </c>
      <c r="K5" s="1">
        <v>98.4375</v>
      </c>
      <c r="L5" s="1">
        <v>32</v>
      </c>
      <c r="M5" s="1">
        <v>50</v>
      </c>
      <c r="N5" s="1">
        <v>32</v>
      </c>
      <c r="O5" s="1">
        <v>50</v>
      </c>
      <c r="P5" s="1">
        <v>-8.92465625</v>
      </c>
      <c r="Q5" s="1">
        <f t="shared" si="0"/>
        <v>-285.589</v>
      </c>
      <c r="R5" s="1">
        <v>-8.738</v>
      </c>
      <c r="S5" s="1">
        <v>-12.102</v>
      </c>
      <c r="T5" s="1">
        <v>-7.101</v>
      </c>
      <c r="U5" s="1">
        <v>-7.5715625</v>
      </c>
      <c r="V5" s="1">
        <v>-7.3945</v>
      </c>
      <c r="W5" s="1">
        <v>-7.84521875</v>
      </c>
      <c r="X5" s="1">
        <v>-7.765</v>
      </c>
      <c r="Y5" s="1">
        <v>0.165154734177766</v>
      </c>
      <c r="Z5" s="1">
        <v>0.130136968109079</v>
      </c>
      <c r="AA5" s="1">
        <v>0.554285714285714</v>
      </c>
      <c r="AB5" s="1">
        <v>0.55</v>
      </c>
      <c r="AC5" s="1">
        <v>0.160394915902302</v>
      </c>
      <c r="AD5" s="1">
        <v>0.155257539570868</v>
      </c>
      <c r="AE5" s="1">
        <v>0.761919103888825</v>
      </c>
      <c r="AF5" s="1">
        <v>0.802954343061689</v>
      </c>
      <c r="AG5" s="1">
        <v>0.827559309692921</v>
      </c>
      <c r="AH5" s="1">
        <v>0.787260899820145</v>
      </c>
      <c r="AI5" s="1">
        <v>0.810776407512887</v>
      </c>
      <c r="AJ5" s="1">
        <v>0.795764860653311</v>
      </c>
      <c r="AK5" s="1">
        <v>0.813120692787212</v>
      </c>
      <c r="AL5" s="1">
        <v>0.811650355240498</v>
      </c>
      <c r="AM5" s="1">
        <v>0.280033051338795</v>
      </c>
      <c r="AN5" s="1">
        <v>0.648189032335841</v>
      </c>
      <c r="AO5" s="1">
        <v>11</v>
      </c>
    </row>
    <row r="6" s="1" customFormat="1" spans="1:41">
      <c r="A6" s="1" t="s">
        <v>41</v>
      </c>
      <c r="B6" s="1" t="s">
        <v>57</v>
      </c>
      <c r="C6" s="1">
        <v>1360.052057</v>
      </c>
      <c r="D6" s="1" t="s">
        <v>58</v>
      </c>
      <c r="E6" s="1" t="s">
        <v>59</v>
      </c>
      <c r="F6" s="1" t="s">
        <v>45</v>
      </c>
      <c r="G6" s="1" t="s">
        <v>46</v>
      </c>
      <c r="H6" s="1">
        <v>8</v>
      </c>
      <c r="I6" s="1">
        <v>64</v>
      </c>
      <c r="J6" s="1">
        <v>63</v>
      </c>
      <c r="K6" s="1">
        <v>98.4375</v>
      </c>
      <c r="L6" s="1">
        <v>40</v>
      </c>
      <c r="M6" s="1">
        <v>62.5</v>
      </c>
      <c r="N6" s="1">
        <v>40</v>
      </c>
      <c r="O6" s="1">
        <v>62.5</v>
      </c>
      <c r="P6" s="1">
        <v>-10.024075</v>
      </c>
      <c r="Q6" s="1">
        <f t="shared" si="0"/>
        <v>-400.963</v>
      </c>
      <c r="R6" s="1">
        <v>-10.2525</v>
      </c>
      <c r="S6" s="1">
        <v>-12.483</v>
      </c>
      <c r="T6" s="1">
        <v>-6.481</v>
      </c>
      <c r="U6" s="1">
        <v>16.70605</v>
      </c>
      <c r="V6" s="1">
        <v>20.1635</v>
      </c>
      <c r="W6" s="1">
        <v>10.456975</v>
      </c>
      <c r="X6" s="1">
        <v>8.825</v>
      </c>
      <c r="Y6" s="1">
        <v>0.188895590780556</v>
      </c>
      <c r="Z6" s="1">
        <v>0.168209386643553</v>
      </c>
      <c r="AA6" s="1">
        <v>0.623492063492064</v>
      </c>
      <c r="AB6" s="1">
        <v>0.63</v>
      </c>
      <c r="AC6" s="1">
        <v>0.268512424370379</v>
      </c>
      <c r="AD6" s="1">
        <v>0.282213687803224</v>
      </c>
      <c r="AE6" s="1">
        <v>0.737891619224106</v>
      </c>
      <c r="AF6" s="1">
        <v>0.783810184896056</v>
      </c>
      <c r="AG6" s="1">
        <v>0.725961624699631</v>
      </c>
      <c r="AH6" s="1">
        <v>0.812671760240142</v>
      </c>
      <c r="AI6" s="1">
        <v>0.83192601959503</v>
      </c>
      <c r="AJ6" s="1" t="s">
        <v>50</v>
      </c>
      <c r="AK6" s="1">
        <v>0.802683753468982</v>
      </c>
      <c r="AL6" s="1">
        <v>0.797378504171904</v>
      </c>
      <c r="AM6" s="1">
        <v>0.305168478573819</v>
      </c>
      <c r="AN6" s="1">
        <v>0.616111173476907</v>
      </c>
      <c r="AO6" s="1">
        <v>12</v>
      </c>
    </row>
    <row r="7" s="1" customFormat="1" spans="1:41">
      <c r="A7" s="1" t="s">
        <v>41</v>
      </c>
      <c r="B7" s="1" t="s">
        <v>60</v>
      </c>
      <c r="C7" s="1">
        <v>1248.375829</v>
      </c>
      <c r="D7" s="1" t="s">
        <v>61</v>
      </c>
      <c r="E7" s="1" t="s">
        <v>62</v>
      </c>
      <c r="F7" s="1" t="s">
        <v>45</v>
      </c>
      <c r="G7" s="1" t="s">
        <v>46</v>
      </c>
      <c r="H7" s="1">
        <v>8</v>
      </c>
      <c r="I7" s="1">
        <v>64</v>
      </c>
      <c r="J7" s="1">
        <v>63</v>
      </c>
      <c r="K7" s="1">
        <v>98.4375</v>
      </c>
      <c r="L7" s="1">
        <v>46</v>
      </c>
      <c r="M7" s="1">
        <v>71.875</v>
      </c>
      <c r="N7" s="1">
        <v>46</v>
      </c>
      <c r="O7" s="1">
        <v>71.875</v>
      </c>
      <c r="P7" s="1">
        <v>-8.28873913043478</v>
      </c>
      <c r="Q7" s="1">
        <f t="shared" si="0"/>
        <v>-381.282</v>
      </c>
      <c r="R7" s="1">
        <v>-8.276</v>
      </c>
      <c r="S7" s="1">
        <v>-10.187</v>
      </c>
      <c r="T7" s="1">
        <v>-5.41</v>
      </c>
      <c r="U7" s="1">
        <v>-5.53560869565217</v>
      </c>
      <c r="V7" s="1">
        <v>-6.268</v>
      </c>
      <c r="W7" s="1">
        <v>-6.56254347826087</v>
      </c>
      <c r="X7" s="1">
        <v>-6.69</v>
      </c>
      <c r="Y7" s="1">
        <v>0.242379895041419</v>
      </c>
      <c r="Z7" s="1">
        <v>0.223898514713544</v>
      </c>
      <c r="AA7" s="1">
        <v>0.587619047619048</v>
      </c>
      <c r="AB7" s="1">
        <v>0.59</v>
      </c>
      <c r="AC7" s="1">
        <v>0.214621649545281</v>
      </c>
      <c r="AD7" s="1">
        <v>0.219244652095497</v>
      </c>
      <c r="AE7" s="1">
        <v>0.772279296751416</v>
      </c>
      <c r="AF7" s="1">
        <v>0.81362478936526</v>
      </c>
      <c r="AG7" s="1">
        <v>0.756282224039508</v>
      </c>
      <c r="AH7" s="1">
        <v>0.781851120745249</v>
      </c>
      <c r="AI7" s="1">
        <v>0.807526891307894</v>
      </c>
      <c r="AJ7" s="1">
        <v>0.81716451019696</v>
      </c>
      <c r="AK7" s="1">
        <v>0.802557166300591</v>
      </c>
      <c r="AL7" s="1">
        <v>0.812823303278756</v>
      </c>
      <c r="AM7" s="1">
        <v>0.31525880781463</v>
      </c>
      <c r="AN7" s="1">
        <v>0.687537081419802</v>
      </c>
      <c r="AO7" s="1">
        <v>13</v>
      </c>
    </row>
    <row r="8" s="1" customFormat="1" spans="1:41">
      <c r="A8" s="1" t="s">
        <v>41</v>
      </c>
      <c r="B8" s="1" t="s">
        <v>63</v>
      </c>
      <c r="C8" s="1">
        <v>499.240421</v>
      </c>
      <c r="D8" s="1" t="s">
        <v>64</v>
      </c>
      <c r="E8" s="1" t="s">
        <v>65</v>
      </c>
      <c r="F8" s="1" t="s">
        <v>45</v>
      </c>
      <c r="G8" s="1" t="s">
        <v>46</v>
      </c>
      <c r="H8" s="1">
        <v>8</v>
      </c>
      <c r="I8" s="1">
        <v>64</v>
      </c>
      <c r="J8" s="1">
        <v>63</v>
      </c>
      <c r="K8" s="1">
        <v>98.4375</v>
      </c>
      <c r="L8" s="1">
        <v>51</v>
      </c>
      <c r="M8" s="1">
        <v>79.6875</v>
      </c>
      <c r="N8" s="1">
        <v>51</v>
      </c>
      <c r="O8" s="1">
        <v>79.6875</v>
      </c>
      <c r="P8" s="1">
        <v>-4.68619607843137</v>
      </c>
      <c r="Q8" s="1">
        <f t="shared" si="0"/>
        <v>-238.996</v>
      </c>
      <c r="R8" s="1">
        <v>-4.606</v>
      </c>
      <c r="S8" s="1">
        <v>-6.607</v>
      </c>
      <c r="T8" s="1">
        <v>-3.762</v>
      </c>
      <c r="U8" s="1">
        <v>-2.94327450980392</v>
      </c>
      <c r="V8" s="1">
        <v>-3.079</v>
      </c>
      <c r="W8" s="1">
        <v>-3.2938431372549</v>
      </c>
      <c r="X8" s="1">
        <v>-3.367</v>
      </c>
      <c r="Y8" s="1">
        <v>0.461924744900212</v>
      </c>
      <c r="Z8" s="1">
        <v>0.520204455649251</v>
      </c>
      <c r="AA8" s="1">
        <v>0.691746031746032</v>
      </c>
      <c r="AB8" s="1">
        <v>0.69</v>
      </c>
      <c r="AC8" s="1">
        <v>0.243163570151614</v>
      </c>
      <c r="AD8" s="1">
        <v>0.260685576001006</v>
      </c>
      <c r="AE8" s="1">
        <v>0.774114932211429</v>
      </c>
      <c r="AF8" s="1">
        <v>0.815795714241043</v>
      </c>
      <c r="AG8" s="1">
        <v>0.798068534966007</v>
      </c>
      <c r="AH8" s="1">
        <v>0.805434034245984</v>
      </c>
      <c r="AI8" s="1">
        <v>0.81775069500756</v>
      </c>
      <c r="AJ8" s="1" t="s">
        <v>50</v>
      </c>
      <c r="AK8" s="1">
        <v>0.801112423020515</v>
      </c>
      <c r="AL8" s="1">
        <v>0.812846334006969</v>
      </c>
      <c r="AM8" s="1">
        <v>0.48435963239545</v>
      </c>
      <c r="AN8" s="1">
        <v>0.686341082821923</v>
      </c>
      <c r="AO8" s="1">
        <v>14</v>
      </c>
    </row>
    <row r="9" s="1" customFormat="1" spans="1:41">
      <c r="A9" s="1" t="s">
        <v>41</v>
      </c>
      <c r="B9" s="1" t="s">
        <v>66</v>
      </c>
      <c r="C9" s="1">
        <v>639.44649</v>
      </c>
      <c r="D9" s="1" t="s">
        <v>67</v>
      </c>
      <c r="E9" s="1" t="s">
        <v>68</v>
      </c>
      <c r="F9" s="1" t="s">
        <v>45</v>
      </c>
      <c r="G9" s="1" t="s">
        <v>46</v>
      </c>
      <c r="H9" s="1">
        <v>8</v>
      </c>
      <c r="I9" s="1">
        <v>64</v>
      </c>
      <c r="J9" s="1">
        <v>64</v>
      </c>
      <c r="K9" s="1">
        <v>100</v>
      </c>
      <c r="L9" s="1">
        <v>36</v>
      </c>
      <c r="M9" s="1">
        <v>56.25</v>
      </c>
      <c r="N9" s="1">
        <v>36</v>
      </c>
      <c r="O9" s="1">
        <v>56.25</v>
      </c>
      <c r="P9" s="1">
        <v>-6.63025</v>
      </c>
      <c r="Q9" s="1">
        <f t="shared" si="0"/>
        <v>-238.689</v>
      </c>
      <c r="R9" s="1">
        <v>-6.6055</v>
      </c>
      <c r="S9" s="1">
        <v>-9.65</v>
      </c>
      <c r="T9" s="1">
        <v>-4.666</v>
      </c>
      <c r="U9" s="1">
        <v>-4.33152777777778</v>
      </c>
      <c r="V9" s="1">
        <v>-4.373</v>
      </c>
      <c r="W9" s="1">
        <v>-4.94902777777778</v>
      </c>
      <c r="X9" s="1">
        <v>-4.9115</v>
      </c>
      <c r="Y9" s="1">
        <v>0.387316898657836</v>
      </c>
      <c r="Z9" s="1">
        <v>0.375957342457729</v>
      </c>
      <c r="AA9" s="1">
        <v>0.65890625</v>
      </c>
      <c r="AB9" s="1">
        <v>0.635</v>
      </c>
      <c r="AC9" s="1">
        <v>0.209000328765693</v>
      </c>
      <c r="AD9" s="1">
        <v>0.194917928668488</v>
      </c>
      <c r="AE9" s="1">
        <v>0.755455379385463</v>
      </c>
      <c r="AF9" s="1">
        <v>0.797826168312829</v>
      </c>
      <c r="AG9" s="1">
        <v>0.822008479986975</v>
      </c>
      <c r="AH9" s="1">
        <v>0.801874569557003</v>
      </c>
      <c r="AI9" s="1">
        <v>0.827947201216934</v>
      </c>
      <c r="AJ9" s="1">
        <v>0.830936734118335</v>
      </c>
      <c r="AK9" s="1">
        <v>0.807806150879447</v>
      </c>
      <c r="AL9" s="1">
        <v>0.817336266137884</v>
      </c>
      <c r="AM9" s="1">
        <v>0.336361745753708</v>
      </c>
      <c r="AN9" s="1">
        <v>0.652183989349811</v>
      </c>
      <c r="AO9" s="1">
        <v>15</v>
      </c>
    </row>
    <row r="10" s="1" customFormat="1" spans="1:41">
      <c r="A10" s="1" t="s">
        <v>41</v>
      </c>
      <c r="B10" s="1" t="s">
        <v>69</v>
      </c>
      <c r="C10" s="1">
        <v>353.550152</v>
      </c>
      <c r="D10" s="1" t="s">
        <v>70</v>
      </c>
      <c r="E10" s="1" t="s">
        <v>71</v>
      </c>
      <c r="F10" s="1" t="s">
        <v>45</v>
      </c>
      <c r="G10" s="1" t="s">
        <v>46</v>
      </c>
      <c r="H10" s="1">
        <v>8</v>
      </c>
      <c r="I10" s="1">
        <v>64</v>
      </c>
      <c r="J10" s="1">
        <v>63</v>
      </c>
      <c r="K10" s="1">
        <v>98.4375</v>
      </c>
      <c r="L10" s="1">
        <v>9</v>
      </c>
      <c r="M10" s="1">
        <v>14.0625</v>
      </c>
      <c r="N10" s="1">
        <v>9</v>
      </c>
      <c r="O10" s="1">
        <v>14.0625</v>
      </c>
      <c r="P10" s="1">
        <v>-7.62544444444444</v>
      </c>
      <c r="Q10" s="1">
        <f t="shared" si="0"/>
        <v>-68.629</v>
      </c>
      <c r="R10" s="1">
        <v>-7.655</v>
      </c>
      <c r="S10" s="1">
        <v>-8.388</v>
      </c>
      <c r="T10" s="1">
        <v>-6.657</v>
      </c>
      <c r="U10" s="1">
        <v>-5.36077777777778</v>
      </c>
      <c r="V10" s="1">
        <v>-5.488</v>
      </c>
      <c r="W10" s="1">
        <v>-5.86455555555556</v>
      </c>
      <c r="X10" s="1">
        <v>-6.063</v>
      </c>
      <c r="Y10" s="1">
        <v>0.217463967527366</v>
      </c>
      <c r="Z10" s="1">
        <v>0.208214277289467</v>
      </c>
      <c r="AA10" s="1">
        <v>0.587301587301587</v>
      </c>
      <c r="AB10" s="1">
        <v>0.58</v>
      </c>
      <c r="AC10" s="1">
        <v>0.186222749476879</v>
      </c>
      <c r="AD10" s="1">
        <v>0.176995205431499</v>
      </c>
      <c r="AE10" s="1">
        <v>0.771991129312671</v>
      </c>
      <c r="AF10" s="1">
        <v>0.811557389818868</v>
      </c>
      <c r="AG10" s="1">
        <v>0.782782577369448</v>
      </c>
      <c r="AH10" s="1">
        <v>0.782118480156924</v>
      </c>
      <c r="AI10" s="1">
        <v>0.813246048689868</v>
      </c>
      <c r="AJ10" s="1">
        <v>0.804876471553508</v>
      </c>
      <c r="AK10" s="1">
        <v>0.802152057472076</v>
      </c>
      <c r="AL10" s="1">
        <v>0.825298240024816</v>
      </c>
      <c r="AM10" s="1">
        <v>0.295568426260577</v>
      </c>
      <c r="AN10" s="1">
        <v>0.650638430293423</v>
      </c>
      <c r="AO10" s="1">
        <v>16</v>
      </c>
    </row>
    <row r="11" s="1" customFormat="1" spans="1:41">
      <c r="A11" s="1" t="s">
        <v>41</v>
      </c>
      <c r="B11" s="1" t="s">
        <v>72</v>
      </c>
      <c r="C11" s="1">
        <v>815.173776</v>
      </c>
      <c r="D11" s="1" t="s">
        <v>73</v>
      </c>
      <c r="E11" s="1" t="s">
        <v>74</v>
      </c>
      <c r="F11" s="1" t="s">
        <v>45</v>
      </c>
      <c r="G11" s="1" t="s">
        <v>46</v>
      </c>
      <c r="H11" s="1">
        <v>8</v>
      </c>
      <c r="I11" s="1">
        <v>64</v>
      </c>
      <c r="J11" s="1">
        <v>62</v>
      </c>
      <c r="K11" s="1">
        <v>96.875</v>
      </c>
      <c r="L11" s="1">
        <v>27</v>
      </c>
      <c r="M11" s="1">
        <v>42.1875</v>
      </c>
      <c r="N11" s="1">
        <v>27</v>
      </c>
      <c r="O11" s="1">
        <v>42.1875</v>
      </c>
      <c r="P11" s="1">
        <v>-8.05988888888889</v>
      </c>
      <c r="Q11" s="1">
        <f t="shared" si="0"/>
        <v>-217.617</v>
      </c>
      <c r="R11" s="1">
        <v>-7.792</v>
      </c>
      <c r="S11" s="1">
        <v>-11.624</v>
      </c>
      <c r="T11" s="1">
        <v>-5.894</v>
      </c>
      <c r="U11" s="1">
        <v>-6.54033333333333</v>
      </c>
      <c r="V11" s="1">
        <v>-6.097</v>
      </c>
      <c r="W11" s="1">
        <v>-6.82844444444444</v>
      </c>
      <c r="X11" s="1">
        <v>-6.19</v>
      </c>
      <c r="Y11" s="1">
        <v>0.213824921675642</v>
      </c>
      <c r="Z11" s="1">
        <v>0.164580217618765</v>
      </c>
      <c r="AA11" s="1">
        <v>0.562096774193548</v>
      </c>
      <c r="AB11" s="1">
        <v>0.58</v>
      </c>
      <c r="AC11" s="1">
        <v>0.215488815651327</v>
      </c>
      <c r="AD11" s="1">
        <v>0.203411356676379</v>
      </c>
      <c r="AE11" s="1">
        <v>0.749672503126001</v>
      </c>
      <c r="AF11" s="1">
        <v>0.801025098477896</v>
      </c>
      <c r="AG11" s="1">
        <v>0.798717993696336</v>
      </c>
      <c r="AH11" s="1">
        <v>0.786851916526639</v>
      </c>
      <c r="AI11" s="1">
        <v>0.817629095102978</v>
      </c>
      <c r="AJ11" s="1">
        <v>0.790570284250985</v>
      </c>
      <c r="AK11" s="1">
        <v>0.802607017957159</v>
      </c>
      <c r="AL11" s="1">
        <v>0.813503764015199</v>
      </c>
      <c r="AM11" s="1">
        <v>0.268040323446028</v>
      </c>
      <c r="AN11" s="1">
        <v>0.609738889376319</v>
      </c>
      <c r="AO11" s="1">
        <v>17</v>
      </c>
    </row>
    <row r="12" s="1" customFormat="1" spans="1:41">
      <c r="A12" s="1" t="s">
        <v>41</v>
      </c>
      <c r="B12" s="1" t="s">
        <v>75</v>
      </c>
      <c r="C12" s="1">
        <v>583.849176</v>
      </c>
      <c r="D12" s="1" t="s">
        <v>76</v>
      </c>
      <c r="E12" s="1" t="s">
        <v>77</v>
      </c>
      <c r="F12" s="1" t="s">
        <v>45</v>
      </c>
      <c r="G12" s="1" t="s">
        <v>46</v>
      </c>
      <c r="H12" s="1">
        <v>8</v>
      </c>
      <c r="I12" s="1">
        <v>64</v>
      </c>
      <c r="J12" s="1">
        <v>64</v>
      </c>
      <c r="K12" s="1">
        <v>100</v>
      </c>
      <c r="L12" s="1">
        <v>14</v>
      </c>
      <c r="M12" s="1">
        <v>21.875</v>
      </c>
      <c r="N12" s="1">
        <v>14</v>
      </c>
      <c r="O12" s="1">
        <v>21.875</v>
      </c>
      <c r="P12" s="1">
        <v>-5.80614285714286</v>
      </c>
      <c r="Q12" s="1">
        <f t="shared" si="0"/>
        <v>-81.286</v>
      </c>
      <c r="R12" s="1">
        <v>-5.9115</v>
      </c>
      <c r="S12" s="1">
        <v>-7.402</v>
      </c>
      <c r="T12" s="1">
        <v>-4.69</v>
      </c>
      <c r="U12" s="1">
        <v>-4.24014285714286</v>
      </c>
      <c r="V12" s="1">
        <v>-4.2215</v>
      </c>
      <c r="W12" s="1">
        <v>-4.41371428571428</v>
      </c>
      <c r="X12" s="1">
        <v>-4.6075</v>
      </c>
      <c r="Y12" s="1">
        <v>0.299542060674737</v>
      </c>
      <c r="Z12" s="1">
        <v>0.28432422114811</v>
      </c>
      <c r="AA12" s="1">
        <v>0.6846875</v>
      </c>
      <c r="AB12" s="1">
        <v>0.695</v>
      </c>
      <c r="AC12" s="1">
        <v>0.175838962812845</v>
      </c>
      <c r="AD12" s="1">
        <v>0.170192390458528</v>
      </c>
      <c r="AE12" s="1">
        <v>0.746979274718111</v>
      </c>
      <c r="AF12" s="1">
        <v>0.799595069737567</v>
      </c>
      <c r="AG12" s="1">
        <v>0.823428435967898</v>
      </c>
      <c r="AH12" s="1">
        <v>0.794849922963137</v>
      </c>
      <c r="AI12" s="1">
        <v>0.815395859886932</v>
      </c>
      <c r="AJ12" s="1">
        <v>0.810297828332317</v>
      </c>
      <c r="AK12" s="1">
        <v>0.808681292426872</v>
      </c>
      <c r="AL12" s="1">
        <v>0.80805155135932</v>
      </c>
      <c r="AM12" s="1">
        <v>0.294827398892817</v>
      </c>
      <c r="AN12" s="1">
        <v>0.613789139708265</v>
      </c>
      <c r="AO12" s="1">
        <v>18</v>
      </c>
    </row>
    <row r="13" s="1" customFormat="1" spans="1:41">
      <c r="A13" s="1" t="s">
        <v>41</v>
      </c>
      <c r="B13" s="1" t="s">
        <v>78</v>
      </c>
      <c r="C13" s="1">
        <v>1372.951257</v>
      </c>
      <c r="D13" s="1" t="s">
        <v>79</v>
      </c>
      <c r="E13" s="1" t="s">
        <v>80</v>
      </c>
      <c r="F13" s="1" t="s">
        <v>45</v>
      </c>
      <c r="G13" s="1" t="s">
        <v>46</v>
      </c>
      <c r="H13" s="1">
        <v>8</v>
      </c>
      <c r="I13" s="1">
        <v>64</v>
      </c>
      <c r="J13" s="1">
        <v>63</v>
      </c>
      <c r="K13" s="1">
        <v>98.4375</v>
      </c>
      <c r="L13" s="1">
        <v>33</v>
      </c>
      <c r="M13" s="1">
        <v>51.5625</v>
      </c>
      <c r="N13" s="1">
        <v>33</v>
      </c>
      <c r="O13" s="1">
        <v>51.5625</v>
      </c>
      <c r="P13" s="1">
        <v>-9.11587878787879</v>
      </c>
      <c r="Q13" s="1">
        <f t="shared" si="0"/>
        <v>-300.824</v>
      </c>
      <c r="R13" s="1">
        <v>-8.968</v>
      </c>
      <c r="S13" s="1">
        <v>-10.63</v>
      </c>
      <c r="T13" s="1">
        <v>-7.325</v>
      </c>
      <c r="U13" s="1">
        <v>-6.92160606060606</v>
      </c>
      <c r="V13" s="1">
        <v>-7.134</v>
      </c>
      <c r="W13" s="1">
        <v>-7.23551515151515</v>
      </c>
      <c r="X13" s="1">
        <v>-7.534</v>
      </c>
      <c r="Y13" s="1">
        <v>0.209039001689438</v>
      </c>
      <c r="Z13" s="1">
        <v>0.170413343473091</v>
      </c>
      <c r="AA13" s="1">
        <v>0.610952380952381</v>
      </c>
      <c r="AB13" s="1">
        <v>0.6</v>
      </c>
      <c r="AC13" s="1">
        <v>0.153234298675088</v>
      </c>
      <c r="AD13" s="1">
        <v>0.147905905460593</v>
      </c>
      <c r="AE13" s="1">
        <v>0.750157167495939</v>
      </c>
      <c r="AF13" s="1">
        <v>0.808340342832892</v>
      </c>
      <c r="AG13" s="1" t="s">
        <v>50</v>
      </c>
      <c r="AH13" s="1">
        <v>0.786672128602644</v>
      </c>
      <c r="AI13" s="1">
        <v>0.82016071651211</v>
      </c>
      <c r="AJ13" s="1" t="s">
        <v>50</v>
      </c>
      <c r="AK13" s="1">
        <v>0.806877921530516</v>
      </c>
      <c r="AL13" s="1">
        <v>0.81011929877866</v>
      </c>
      <c r="AM13" s="1">
        <v>0.27092485810437</v>
      </c>
      <c r="AN13" s="1">
        <v>0.624148021139443</v>
      </c>
      <c r="AO13" s="1">
        <v>19</v>
      </c>
    </row>
    <row r="14" s="1" customFormat="1" spans="1:41">
      <c r="A14" s="1" t="s">
        <v>41</v>
      </c>
      <c r="B14" s="1" t="s">
        <v>81</v>
      </c>
      <c r="C14" s="1">
        <v>765.128801</v>
      </c>
      <c r="D14" s="1" t="s">
        <v>82</v>
      </c>
      <c r="E14" s="1" t="s">
        <v>83</v>
      </c>
      <c r="F14" s="1" t="s">
        <v>45</v>
      </c>
      <c r="G14" s="1" t="s">
        <v>46</v>
      </c>
      <c r="H14" s="1">
        <v>8</v>
      </c>
      <c r="I14" s="1">
        <v>64</v>
      </c>
      <c r="J14" s="1">
        <v>63</v>
      </c>
      <c r="K14" s="1">
        <v>98.4375</v>
      </c>
      <c r="L14" s="1">
        <v>22</v>
      </c>
      <c r="M14" s="1">
        <v>34.375</v>
      </c>
      <c r="N14" s="1">
        <v>22</v>
      </c>
      <c r="O14" s="1">
        <v>34.375</v>
      </c>
      <c r="P14" s="1">
        <v>-7.218</v>
      </c>
      <c r="Q14" s="1">
        <f t="shared" si="0"/>
        <v>-158.796</v>
      </c>
      <c r="R14" s="1">
        <v>-7.1435</v>
      </c>
      <c r="S14" s="1">
        <v>-9.283</v>
      </c>
      <c r="T14" s="1">
        <v>-5.677</v>
      </c>
      <c r="U14" s="1">
        <v>-4.90368181818182</v>
      </c>
      <c r="V14" s="1">
        <v>-4.983</v>
      </c>
      <c r="W14" s="1">
        <v>-5.0865</v>
      </c>
      <c r="X14" s="1">
        <v>-5.1935</v>
      </c>
      <c r="Y14" s="1">
        <v>0.24483740747161</v>
      </c>
      <c r="Z14" s="1">
        <v>0.191236003186157</v>
      </c>
      <c r="AA14" s="1">
        <v>0.616349206349206</v>
      </c>
      <c r="AB14" s="1">
        <v>0.61</v>
      </c>
      <c r="AC14" s="1">
        <v>0.169634766387605</v>
      </c>
      <c r="AD14" s="1">
        <v>0.156404229270922</v>
      </c>
      <c r="AE14" s="1">
        <v>0.755313811335294</v>
      </c>
      <c r="AF14" s="1">
        <v>0.803161494561306</v>
      </c>
      <c r="AG14" s="1">
        <v>0.822240195062724</v>
      </c>
      <c r="AH14" s="1">
        <v>0.790150921021313</v>
      </c>
      <c r="AI14" s="1">
        <v>0.812974683415323</v>
      </c>
      <c r="AJ14" s="1">
        <v>0.761554578728765</v>
      </c>
      <c r="AK14" s="1">
        <v>0.81573945238193</v>
      </c>
      <c r="AL14" s="1">
        <v>0.81058002411425</v>
      </c>
      <c r="AM14" s="1">
        <v>0.312598459311729</v>
      </c>
      <c r="AN14" s="1">
        <v>0.64095990222099</v>
      </c>
      <c r="AO14" s="1">
        <v>2</v>
      </c>
    </row>
    <row r="15" s="1" customFormat="1" spans="1:41">
      <c r="A15" s="1" t="s">
        <v>41</v>
      </c>
      <c r="B15" s="1" t="s">
        <v>84</v>
      </c>
      <c r="C15" s="1">
        <v>1189.224049</v>
      </c>
      <c r="D15" s="1" t="s">
        <v>85</v>
      </c>
      <c r="E15" s="1" t="s">
        <v>86</v>
      </c>
      <c r="F15" s="1" t="s">
        <v>45</v>
      </c>
      <c r="G15" s="1" t="s">
        <v>46</v>
      </c>
      <c r="H15" s="1">
        <v>8</v>
      </c>
      <c r="I15" s="1">
        <v>64</v>
      </c>
      <c r="J15" s="1">
        <v>62</v>
      </c>
      <c r="K15" s="1">
        <v>96.875</v>
      </c>
      <c r="L15" s="1">
        <v>41</v>
      </c>
      <c r="M15" s="1">
        <v>64.0625</v>
      </c>
      <c r="N15" s="1">
        <v>41</v>
      </c>
      <c r="O15" s="1">
        <v>64.0625</v>
      </c>
      <c r="P15" s="1">
        <v>-6.77665853658536</v>
      </c>
      <c r="Q15" s="1">
        <f t="shared" si="0"/>
        <v>-277.843</v>
      </c>
      <c r="R15" s="1">
        <v>-6.657</v>
      </c>
      <c r="S15" s="1">
        <v>-9.917</v>
      </c>
      <c r="T15" s="1">
        <v>-4.635</v>
      </c>
      <c r="U15" s="1">
        <v>-1.40414634146341</v>
      </c>
      <c r="V15" s="1">
        <v>-2.168</v>
      </c>
      <c r="W15" s="1">
        <v>-2.79826829268293</v>
      </c>
      <c r="X15" s="1">
        <v>-2.57</v>
      </c>
      <c r="Y15" s="1">
        <v>0.363769250708772</v>
      </c>
      <c r="Z15" s="1">
        <v>0.353951587133642</v>
      </c>
      <c r="AA15" s="1">
        <v>0.630645161290323</v>
      </c>
      <c r="AB15" s="1">
        <v>0.62</v>
      </c>
      <c r="AC15" s="1">
        <v>0.236814978340391</v>
      </c>
      <c r="AD15" s="1">
        <v>0.242202205696784</v>
      </c>
      <c r="AE15" s="1">
        <v>0.72665028388434</v>
      </c>
      <c r="AF15" s="1">
        <v>0.795406445749285</v>
      </c>
      <c r="AG15" s="1">
        <v>0.793682207813731</v>
      </c>
      <c r="AH15" s="1">
        <v>0.813813301830839</v>
      </c>
      <c r="AI15" s="1">
        <v>0.82592649168023</v>
      </c>
      <c r="AJ15" s="1" t="s">
        <v>50</v>
      </c>
      <c r="AK15" s="1">
        <v>0.802600513232761</v>
      </c>
      <c r="AL15" s="1">
        <v>0.817947955759841</v>
      </c>
      <c r="AM15" s="1">
        <v>0.308532373951675</v>
      </c>
      <c r="AN15" s="1">
        <v>0.602233705236952</v>
      </c>
      <c r="AO15" s="1">
        <v>20</v>
      </c>
    </row>
    <row r="16" s="1" customFormat="1" spans="1:41">
      <c r="A16" s="1" t="s">
        <v>41</v>
      </c>
      <c r="B16" s="1" t="s">
        <v>87</v>
      </c>
      <c r="C16" s="1">
        <v>1126.76222</v>
      </c>
      <c r="D16" s="1" t="s">
        <v>88</v>
      </c>
      <c r="E16" s="1" t="s">
        <v>89</v>
      </c>
      <c r="F16" s="1" t="s">
        <v>45</v>
      </c>
      <c r="G16" s="1" t="s">
        <v>46</v>
      </c>
      <c r="H16" s="1">
        <v>8</v>
      </c>
      <c r="I16" s="1">
        <v>64</v>
      </c>
      <c r="J16" s="1">
        <v>63</v>
      </c>
      <c r="K16" s="1">
        <v>98.4375</v>
      </c>
      <c r="L16" s="1">
        <v>42</v>
      </c>
      <c r="M16" s="1">
        <v>65.625</v>
      </c>
      <c r="N16" s="1">
        <v>42</v>
      </c>
      <c r="O16" s="1">
        <v>65.625</v>
      </c>
      <c r="P16" s="1">
        <v>-8.66538095238095</v>
      </c>
      <c r="Q16" s="1">
        <f t="shared" si="0"/>
        <v>-363.946</v>
      </c>
      <c r="R16" s="1">
        <v>-8.945</v>
      </c>
      <c r="S16" s="1">
        <v>-11.153</v>
      </c>
      <c r="T16" s="1">
        <v>-5.961</v>
      </c>
      <c r="U16" s="1">
        <v>-5.60919047619048</v>
      </c>
      <c r="V16" s="1">
        <v>-6.271</v>
      </c>
      <c r="W16" s="1">
        <v>-6.47407142857143</v>
      </c>
      <c r="X16" s="1">
        <v>-6.5245</v>
      </c>
      <c r="Y16" s="1">
        <v>0.253992259620508</v>
      </c>
      <c r="Z16" s="1">
        <v>0.219945753263008</v>
      </c>
      <c r="AA16" s="1">
        <v>0.651269841269841</v>
      </c>
      <c r="AB16" s="1">
        <v>0.66</v>
      </c>
      <c r="AC16" s="1">
        <v>0.258855129739077</v>
      </c>
      <c r="AD16" s="1">
        <v>0.268420220892201</v>
      </c>
      <c r="AE16" s="1">
        <v>0.741059176093059</v>
      </c>
      <c r="AF16" s="1">
        <v>0.783783398556522</v>
      </c>
      <c r="AG16" s="1">
        <v>0.78059042578409</v>
      </c>
      <c r="AH16" s="1">
        <v>0.80767748192583</v>
      </c>
      <c r="AI16" s="1">
        <v>0.825382311104171</v>
      </c>
      <c r="AJ16" s="1" t="s">
        <v>50</v>
      </c>
      <c r="AK16" s="1">
        <v>0.811470813829085</v>
      </c>
      <c r="AL16" s="1">
        <v>0.822628272201636</v>
      </c>
      <c r="AM16" s="1">
        <v>0.334988025401598</v>
      </c>
      <c r="AN16" s="1">
        <v>0.61472300679302</v>
      </c>
      <c r="AO16" s="1">
        <v>21</v>
      </c>
    </row>
    <row r="17" s="1" customFormat="1" spans="1:41">
      <c r="A17" s="1" t="s">
        <v>41</v>
      </c>
      <c r="B17" s="1" t="s">
        <v>90</v>
      </c>
      <c r="C17" s="1">
        <v>2379.445134</v>
      </c>
      <c r="D17" s="1" t="s">
        <v>91</v>
      </c>
      <c r="E17" s="1" t="s">
        <v>92</v>
      </c>
      <c r="F17" s="1" t="s">
        <v>45</v>
      </c>
      <c r="G17" s="1" t="s">
        <v>46</v>
      </c>
      <c r="H17" s="1">
        <v>8</v>
      </c>
      <c r="I17" s="1">
        <v>64</v>
      </c>
      <c r="J17" s="1">
        <v>60</v>
      </c>
      <c r="K17" s="1">
        <v>93.75</v>
      </c>
      <c r="L17" s="1">
        <v>34</v>
      </c>
      <c r="M17" s="1">
        <v>53.125</v>
      </c>
      <c r="N17" s="1">
        <v>34</v>
      </c>
      <c r="O17" s="1">
        <v>53.125</v>
      </c>
      <c r="P17" s="1">
        <v>-10.2656764705882</v>
      </c>
      <c r="Q17" s="1">
        <f t="shared" si="0"/>
        <v>-349.032999999999</v>
      </c>
      <c r="R17" s="1">
        <v>-10.2585</v>
      </c>
      <c r="S17" s="1">
        <v>-12.333</v>
      </c>
      <c r="T17" s="1">
        <v>-8.175</v>
      </c>
      <c r="U17" s="1">
        <v>-7.85082352941177</v>
      </c>
      <c r="V17" s="1">
        <v>-8.387</v>
      </c>
      <c r="W17" s="1">
        <v>-8.44508823529412</v>
      </c>
      <c r="X17" s="1">
        <v>-8.69</v>
      </c>
      <c r="Y17" s="1">
        <v>0.133983936610095</v>
      </c>
      <c r="Z17" s="1">
        <v>0.107878600845643</v>
      </c>
      <c r="AA17" s="1">
        <v>0.551864406779661</v>
      </c>
      <c r="AB17" s="1">
        <v>0.52</v>
      </c>
      <c r="AC17" s="1">
        <v>0.239206225317507</v>
      </c>
      <c r="AD17" s="1">
        <v>0.246899157680777</v>
      </c>
      <c r="AE17" s="1">
        <v>0.710189216889002</v>
      </c>
      <c r="AF17" s="1">
        <v>0.788689539685859</v>
      </c>
      <c r="AG17" s="1" t="s">
        <v>50</v>
      </c>
      <c r="AH17" s="1">
        <v>0.805171188428355</v>
      </c>
      <c r="AI17" s="1">
        <v>0.818292617268387</v>
      </c>
      <c r="AJ17" s="1" t="s">
        <v>50</v>
      </c>
      <c r="AK17" s="1">
        <v>0.804158435343306</v>
      </c>
      <c r="AL17" s="1">
        <v>0.817306331247801</v>
      </c>
      <c r="AM17" s="1">
        <v>0.263446697956709</v>
      </c>
      <c r="AN17" s="1">
        <v>0.580907747656757</v>
      </c>
      <c r="AO17" s="1">
        <v>22</v>
      </c>
    </row>
    <row r="18" s="1" customFormat="1" spans="1:41">
      <c r="A18" s="1" t="s">
        <v>41</v>
      </c>
      <c r="B18" s="1" t="s">
        <v>93</v>
      </c>
      <c r="C18" s="1">
        <v>628.875626</v>
      </c>
      <c r="D18" s="1" t="s">
        <v>94</v>
      </c>
      <c r="E18" s="1" t="s">
        <v>95</v>
      </c>
      <c r="F18" s="1" t="s">
        <v>45</v>
      </c>
      <c r="G18" s="1" t="s">
        <v>46</v>
      </c>
      <c r="H18" s="1">
        <v>8</v>
      </c>
      <c r="I18" s="1">
        <v>64</v>
      </c>
      <c r="J18" s="1">
        <v>63</v>
      </c>
      <c r="K18" s="1">
        <v>98.4375</v>
      </c>
      <c r="L18" s="1">
        <v>37</v>
      </c>
      <c r="M18" s="1">
        <v>57.8125</v>
      </c>
      <c r="N18" s="1">
        <v>37</v>
      </c>
      <c r="O18" s="1">
        <v>57.8125</v>
      </c>
      <c r="P18" s="1">
        <v>-6.58159459459459</v>
      </c>
      <c r="Q18" s="1">
        <f t="shared" si="0"/>
        <v>-243.519</v>
      </c>
      <c r="R18" s="1">
        <v>-6.46</v>
      </c>
      <c r="S18" s="1">
        <v>-8.523</v>
      </c>
      <c r="T18" s="1">
        <v>-5.867</v>
      </c>
      <c r="U18" s="1">
        <v>-4.32289189189189</v>
      </c>
      <c r="V18" s="1">
        <v>-4.271</v>
      </c>
      <c r="W18" s="1">
        <v>-4.68148648648649</v>
      </c>
      <c r="X18" s="1">
        <v>-4.617</v>
      </c>
      <c r="Y18" s="1">
        <v>0.388537962022501</v>
      </c>
      <c r="Z18" s="1">
        <v>0.383319475217712</v>
      </c>
      <c r="AA18" s="1">
        <v>0.671746031746032</v>
      </c>
      <c r="AB18" s="1">
        <v>0.68</v>
      </c>
      <c r="AC18" s="1">
        <v>0.242733862683247</v>
      </c>
      <c r="AD18" s="1">
        <v>0.245042433253394</v>
      </c>
      <c r="AE18" s="1">
        <v>0.76173267369644</v>
      </c>
      <c r="AF18" s="1">
        <v>0.803634286486733</v>
      </c>
      <c r="AG18" s="1" t="s">
        <v>50</v>
      </c>
      <c r="AH18" s="1">
        <v>0.825263105952142</v>
      </c>
      <c r="AI18" s="1">
        <v>0.832554611157698</v>
      </c>
      <c r="AJ18" s="1" t="s">
        <v>50</v>
      </c>
      <c r="AK18" s="1">
        <v>0.806517309614093</v>
      </c>
      <c r="AL18" s="1">
        <v>0.793594972789135</v>
      </c>
      <c r="AM18" s="1">
        <v>0.380822789461473</v>
      </c>
      <c r="AN18" s="1">
        <v>0.645148456724462</v>
      </c>
      <c r="AO18" s="1">
        <v>23</v>
      </c>
    </row>
    <row r="19" s="1" customFormat="1" spans="1:41">
      <c r="A19" s="1" t="s">
        <v>41</v>
      </c>
      <c r="B19" s="1" t="s">
        <v>96</v>
      </c>
      <c r="C19" s="1">
        <v>560.802218</v>
      </c>
      <c r="D19" s="1" t="s">
        <v>97</v>
      </c>
      <c r="E19" s="1" t="s">
        <v>98</v>
      </c>
      <c r="F19" s="1" t="s">
        <v>45</v>
      </c>
      <c r="G19" s="1" t="s">
        <v>46</v>
      </c>
      <c r="H19" s="1">
        <v>8</v>
      </c>
      <c r="I19" s="1">
        <v>64</v>
      </c>
      <c r="J19" s="1">
        <v>63</v>
      </c>
      <c r="K19" s="1">
        <v>98.4375</v>
      </c>
      <c r="L19" s="1">
        <v>17</v>
      </c>
      <c r="M19" s="1">
        <v>26.5625</v>
      </c>
      <c r="N19" s="1">
        <v>17</v>
      </c>
      <c r="O19" s="1">
        <v>26.5625</v>
      </c>
      <c r="P19" s="1">
        <v>-8.81752941176471</v>
      </c>
      <c r="Q19" s="1">
        <f t="shared" si="0"/>
        <v>-149.898</v>
      </c>
      <c r="R19" s="1">
        <v>-8.697</v>
      </c>
      <c r="S19" s="1">
        <v>-10.414</v>
      </c>
      <c r="T19" s="1">
        <v>-7.685</v>
      </c>
      <c r="U19" s="1">
        <v>-6.53464705882353</v>
      </c>
      <c r="V19" s="1">
        <v>-6.559</v>
      </c>
      <c r="W19" s="1">
        <v>-6.90029411764706</v>
      </c>
      <c r="X19" s="1">
        <v>-6.796</v>
      </c>
      <c r="Y19" s="1">
        <v>0.222809170948433</v>
      </c>
      <c r="Z19" s="1">
        <v>0.197273501368683</v>
      </c>
      <c r="AA19" s="1">
        <v>0.608412698412698</v>
      </c>
      <c r="AB19" s="1">
        <v>0.61</v>
      </c>
      <c r="AC19" s="1">
        <v>0.280513788213513</v>
      </c>
      <c r="AD19" s="1">
        <v>0.295897840134302</v>
      </c>
      <c r="AE19" s="1">
        <v>0.718896555259722</v>
      </c>
      <c r="AF19" s="1">
        <v>0.804278971771024</v>
      </c>
      <c r="AG19" s="1">
        <v>0.812932347879038</v>
      </c>
      <c r="AH19" s="1">
        <v>0.813676845649383</v>
      </c>
      <c r="AI19" s="1">
        <v>0.797907856664652</v>
      </c>
      <c r="AJ19" s="1" t="s">
        <v>50</v>
      </c>
      <c r="AK19" s="1">
        <v>0.80262174941436</v>
      </c>
      <c r="AL19" s="1">
        <v>0.828837220362201</v>
      </c>
      <c r="AM19" s="1">
        <v>0.257684745490172</v>
      </c>
      <c r="AN19" s="1">
        <v>0.594927508965721</v>
      </c>
      <c r="AO19" s="1">
        <v>24</v>
      </c>
    </row>
    <row r="20" s="1" customFormat="1" spans="1:41">
      <c r="A20" s="1" t="s">
        <v>41</v>
      </c>
      <c r="B20" s="1" t="s">
        <v>99</v>
      </c>
      <c r="C20" s="1">
        <v>430.875632</v>
      </c>
      <c r="D20" s="1" t="s">
        <v>100</v>
      </c>
      <c r="E20" s="1" t="s">
        <v>101</v>
      </c>
      <c r="F20" s="1" t="s">
        <v>45</v>
      </c>
      <c r="G20" s="1" t="s">
        <v>46</v>
      </c>
      <c r="H20" s="1">
        <v>8</v>
      </c>
      <c r="I20" s="1">
        <v>64</v>
      </c>
      <c r="J20" s="1">
        <v>64</v>
      </c>
      <c r="K20" s="1">
        <v>100</v>
      </c>
      <c r="L20" s="1">
        <v>31</v>
      </c>
      <c r="M20" s="1">
        <v>48.4375</v>
      </c>
      <c r="N20" s="1">
        <v>31</v>
      </c>
      <c r="O20" s="1">
        <v>48.4375</v>
      </c>
      <c r="P20" s="1">
        <v>-5.87812903225807</v>
      </c>
      <c r="Q20" s="1">
        <f t="shared" si="0"/>
        <v>-182.222</v>
      </c>
      <c r="R20" s="1">
        <v>-5.563</v>
      </c>
      <c r="S20" s="1">
        <v>-7.422</v>
      </c>
      <c r="T20" s="1">
        <v>-4.799</v>
      </c>
      <c r="U20" s="1">
        <v>-3.80735483870968</v>
      </c>
      <c r="V20" s="1">
        <v>-3.73</v>
      </c>
      <c r="W20" s="1">
        <v>-4.11016129032258</v>
      </c>
      <c r="X20" s="1">
        <v>-3.912</v>
      </c>
      <c r="Y20" s="1">
        <v>0.415259102831861</v>
      </c>
      <c r="Z20" s="1">
        <v>0.442703021109173</v>
      </c>
      <c r="AA20" s="1">
        <v>0.76015625</v>
      </c>
      <c r="AB20" s="1">
        <v>0.78</v>
      </c>
      <c r="AC20" s="1">
        <v>0.236300838862836</v>
      </c>
      <c r="AD20" s="1">
        <v>0.245042433253394</v>
      </c>
      <c r="AE20" s="1">
        <v>0.753361471079731</v>
      </c>
      <c r="AF20" s="1">
        <v>0.807675482549179</v>
      </c>
      <c r="AG20" s="1" t="s">
        <v>50</v>
      </c>
      <c r="AH20" s="1">
        <v>0.812736359553808</v>
      </c>
      <c r="AI20" s="1">
        <v>0.827418844189907</v>
      </c>
      <c r="AJ20" s="1" t="s">
        <v>50</v>
      </c>
      <c r="AK20" s="1">
        <v>0.818213929247832</v>
      </c>
      <c r="AL20" s="1">
        <v>0.820540640809485</v>
      </c>
      <c r="AM20" s="1">
        <v>0.410324909000129</v>
      </c>
      <c r="AN20" s="1">
        <v>0.653789537895495</v>
      </c>
      <c r="AO20" s="1">
        <v>3</v>
      </c>
    </row>
    <row r="21" s="1" customFormat="1" spans="1:41">
      <c r="A21" s="1" t="s">
        <v>41</v>
      </c>
      <c r="B21" s="1" t="s">
        <v>102</v>
      </c>
      <c r="C21" s="1">
        <v>961.303734</v>
      </c>
      <c r="D21" s="1" t="s">
        <v>103</v>
      </c>
      <c r="E21" s="1" t="s">
        <v>104</v>
      </c>
      <c r="F21" s="1" t="s">
        <v>45</v>
      </c>
      <c r="G21" s="1" t="s">
        <v>46</v>
      </c>
      <c r="H21" s="1">
        <v>8</v>
      </c>
      <c r="I21" s="1">
        <v>64</v>
      </c>
      <c r="J21" s="1">
        <v>63</v>
      </c>
      <c r="K21" s="1">
        <v>98.4375</v>
      </c>
      <c r="L21" s="1">
        <v>41</v>
      </c>
      <c r="M21" s="1">
        <v>64.0625</v>
      </c>
      <c r="N21" s="1">
        <v>41</v>
      </c>
      <c r="O21" s="1">
        <v>64.0625</v>
      </c>
      <c r="P21" s="1">
        <v>-10.0059756097561</v>
      </c>
      <c r="Q21" s="1">
        <f t="shared" si="0"/>
        <v>-410.245</v>
      </c>
      <c r="R21" s="1">
        <v>-9.862</v>
      </c>
      <c r="S21" s="1">
        <v>-15.455</v>
      </c>
      <c r="T21" s="1">
        <v>-4.483</v>
      </c>
      <c r="U21" s="1">
        <v>-8.86719512195122</v>
      </c>
      <c r="V21" s="1">
        <v>-8.653</v>
      </c>
      <c r="W21" s="1">
        <v>-9.16390243902439</v>
      </c>
      <c r="X21" s="1">
        <v>-8.906</v>
      </c>
      <c r="Y21" s="1">
        <v>0.21429281585331</v>
      </c>
      <c r="Z21" s="1">
        <v>0.193754567716125</v>
      </c>
      <c r="AA21" s="1">
        <v>0.567301587301587</v>
      </c>
      <c r="AB21" s="1">
        <v>0.57</v>
      </c>
      <c r="AC21" s="1">
        <v>0.273819436041858</v>
      </c>
      <c r="AD21" s="1">
        <v>0.282095380885896</v>
      </c>
      <c r="AE21" s="1">
        <v>0.749538180349026</v>
      </c>
      <c r="AF21" s="1">
        <v>0.808167464761273</v>
      </c>
      <c r="AG21" s="1">
        <v>0.788912617259192</v>
      </c>
      <c r="AH21" s="1">
        <v>0.779203276855934</v>
      </c>
      <c r="AI21" s="1">
        <v>0.812762946439204</v>
      </c>
      <c r="AJ21" s="1">
        <v>0.773782767165012</v>
      </c>
      <c r="AK21" s="1">
        <v>0.820204039449144</v>
      </c>
      <c r="AL21" s="1">
        <v>0.816515671844569</v>
      </c>
      <c r="AM21" s="1">
        <v>0.31563199293978</v>
      </c>
      <c r="AN21" s="1">
        <v>0.636581435604377</v>
      </c>
      <c r="AO21" s="1">
        <v>4</v>
      </c>
    </row>
    <row r="22" s="1" customFormat="1" spans="1:41">
      <c r="A22" s="1" t="s">
        <v>41</v>
      </c>
      <c r="B22" s="1" t="s">
        <v>105</v>
      </c>
      <c r="C22" s="1">
        <v>461.217936</v>
      </c>
      <c r="D22" s="1" t="s">
        <v>106</v>
      </c>
      <c r="E22" s="1" t="s">
        <v>107</v>
      </c>
      <c r="F22" s="1" t="s">
        <v>45</v>
      </c>
      <c r="G22" s="1" t="s">
        <v>46</v>
      </c>
      <c r="H22" s="1">
        <v>8</v>
      </c>
      <c r="I22" s="1">
        <v>64</v>
      </c>
      <c r="J22" s="1">
        <v>64</v>
      </c>
      <c r="K22" s="1">
        <v>100</v>
      </c>
      <c r="L22" s="1">
        <v>39</v>
      </c>
      <c r="M22" s="1">
        <v>60.9375</v>
      </c>
      <c r="N22" s="1">
        <v>39</v>
      </c>
      <c r="O22" s="1">
        <v>60.9375</v>
      </c>
      <c r="P22" s="1">
        <v>-5.52797435897436</v>
      </c>
      <c r="Q22" s="1">
        <f t="shared" si="0"/>
        <v>-215.591</v>
      </c>
      <c r="R22" s="1">
        <v>-5.679</v>
      </c>
      <c r="S22" s="1">
        <v>-7.587</v>
      </c>
      <c r="T22" s="1">
        <v>-4.237</v>
      </c>
      <c r="U22" s="1">
        <v>-2.66069230769231</v>
      </c>
      <c r="V22" s="1">
        <v>-2.668</v>
      </c>
      <c r="W22" s="1">
        <v>-3.31692307692308</v>
      </c>
      <c r="X22" s="1">
        <v>-3.277</v>
      </c>
      <c r="Y22" s="1">
        <v>0.396499691013194</v>
      </c>
      <c r="Z22" s="1">
        <v>0.412334818129024</v>
      </c>
      <c r="AA22" s="1">
        <v>0.66</v>
      </c>
      <c r="AB22" s="1">
        <v>0.645</v>
      </c>
      <c r="AC22" s="1">
        <v>0.257035605169922</v>
      </c>
      <c r="AD22" s="1">
        <v>0.260685576001006</v>
      </c>
      <c r="AE22" s="1">
        <v>0.75713370856089</v>
      </c>
      <c r="AF22" s="1">
        <v>0.808247646263857</v>
      </c>
      <c r="AG22" s="1">
        <v>0.831432004470218</v>
      </c>
      <c r="AH22" s="1">
        <v>0.819562887840197</v>
      </c>
      <c r="AI22" s="1">
        <v>0.832554611157698</v>
      </c>
      <c r="AJ22" s="1" t="s">
        <v>50</v>
      </c>
      <c r="AK22" s="1">
        <v>0.809160228051624</v>
      </c>
      <c r="AL22" s="1">
        <v>0.825695556270693</v>
      </c>
      <c r="AM22" s="1">
        <v>0.415515493899161</v>
      </c>
      <c r="AN22" s="1">
        <v>0.655919516245248</v>
      </c>
      <c r="AO22" s="1">
        <v>5</v>
      </c>
    </row>
    <row r="23" s="1" customFormat="1" spans="1:41">
      <c r="A23" s="1" t="s">
        <v>41</v>
      </c>
      <c r="B23" s="1" t="s">
        <v>108</v>
      </c>
      <c r="C23" s="1">
        <v>571.488492</v>
      </c>
      <c r="D23" s="1" t="s">
        <v>109</v>
      </c>
      <c r="E23" s="1" t="s">
        <v>110</v>
      </c>
      <c r="F23" s="1" t="s">
        <v>45</v>
      </c>
      <c r="G23" s="1" t="s">
        <v>46</v>
      </c>
      <c r="H23" s="1">
        <v>8</v>
      </c>
      <c r="I23" s="1">
        <v>64</v>
      </c>
      <c r="J23" s="1">
        <v>64</v>
      </c>
      <c r="K23" s="1">
        <v>100</v>
      </c>
      <c r="L23" s="1">
        <v>19</v>
      </c>
      <c r="M23" s="1">
        <v>29.6875</v>
      </c>
      <c r="N23" s="1">
        <v>19</v>
      </c>
      <c r="O23" s="1">
        <v>29.6875</v>
      </c>
      <c r="P23" s="1">
        <v>-7.64968421052632</v>
      </c>
      <c r="Q23" s="1">
        <f t="shared" si="0"/>
        <v>-145.344</v>
      </c>
      <c r="R23" s="1">
        <v>-7.543</v>
      </c>
      <c r="S23" s="1">
        <v>-11.771</v>
      </c>
      <c r="T23" s="1">
        <v>-6.024</v>
      </c>
      <c r="U23" s="1">
        <v>-5.45452631578947</v>
      </c>
      <c r="V23" s="1">
        <v>-5.372</v>
      </c>
      <c r="W23" s="1">
        <v>-5.98968421052632</v>
      </c>
      <c r="X23" s="1">
        <v>-6.071</v>
      </c>
      <c r="Y23" s="1">
        <v>0.292503230419852</v>
      </c>
      <c r="Z23" s="1">
        <v>0.285926671250593</v>
      </c>
      <c r="AA23" s="1">
        <v>0.665625</v>
      </c>
      <c r="AB23" s="1">
        <v>0.66</v>
      </c>
      <c r="AC23" s="1">
        <v>0.199220643197881</v>
      </c>
      <c r="AD23" s="1">
        <v>0.176791201396177</v>
      </c>
      <c r="AE23" s="1">
        <v>0.747059990252836</v>
      </c>
      <c r="AF23" s="1">
        <v>0.809163726864413</v>
      </c>
      <c r="AG23" s="1">
        <v>0.785576455318934</v>
      </c>
      <c r="AH23" s="1">
        <v>0.80700402083098</v>
      </c>
      <c r="AI23" s="1">
        <v>0.819953273317839</v>
      </c>
      <c r="AJ23" s="1" t="s">
        <v>50</v>
      </c>
      <c r="AK23" s="1">
        <v>0.794936349267933</v>
      </c>
      <c r="AL23" s="1">
        <v>0.795438876407249</v>
      </c>
      <c r="AM23" s="1">
        <v>0.330539359823</v>
      </c>
      <c r="AN23" s="1">
        <v>0.628356796302137</v>
      </c>
      <c r="AO23" s="1">
        <v>6</v>
      </c>
    </row>
    <row r="24" s="1" customFormat="1" spans="1:41">
      <c r="A24" s="1" t="s">
        <v>41</v>
      </c>
      <c r="B24" s="1" t="s">
        <v>111</v>
      </c>
      <c r="C24" s="1">
        <v>1474.311376</v>
      </c>
      <c r="D24" s="1" t="s">
        <v>112</v>
      </c>
      <c r="E24" s="1" t="s">
        <v>113</v>
      </c>
      <c r="F24" s="1" t="s">
        <v>45</v>
      </c>
      <c r="G24" s="1" t="s">
        <v>46</v>
      </c>
      <c r="H24" s="1">
        <v>8</v>
      </c>
      <c r="I24" s="1">
        <v>64</v>
      </c>
      <c r="J24" s="1">
        <v>63</v>
      </c>
      <c r="K24" s="1">
        <v>98.4375</v>
      </c>
      <c r="L24" s="1">
        <v>17</v>
      </c>
      <c r="M24" s="1">
        <v>26.5625</v>
      </c>
      <c r="N24" s="1">
        <v>17</v>
      </c>
      <c r="O24" s="1">
        <v>26.5625</v>
      </c>
      <c r="P24" s="1">
        <v>-9.26188235294118</v>
      </c>
      <c r="Q24" s="1">
        <f t="shared" si="0"/>
        <v>-157.452</v>
      </c>
      <c r="R24" s="1">
        <v>-9.264</v>
      </c>
      <c r="S24" s="1">
        <v>-11.178</v>
      </c>
      <c r="T24" s="1">
        <v>-7.687</v>
      </c>
      <c r="U24" s="1">
        <v>-6.81458823529412</v>
      </c>
      <c r="V24" s="1">
        <v>-6.592</v>
      </c>
      <c r="W24" s="1">
        <v>-7.03270588235294</v>
      </c>
      <c r="X24" s="1">
        <v>-6.878</v>
      </c>
      <c r="Y24" s="1">
        <v>0.136047952471222</v>
      </c>
      <c r="Z24" s="1">
        <v>0.0838983843815607</v>
      </c>
      <c r="AA24" s="1">
        <v>0.487460317460317</v>
      </c>
      <c r="AB24" s="1">
        <v>0.49</v>
      </c>
      <c r="AC24" s="1">
        <v>0.183990727258821</v>
      </c>
      <c r="AD24" s="1">
        <v>0.178874939729777</v>
      </c>
      <c r="AE24" s="1">
        <v>0.721175185074226</v>
      </c>
      <c r="AF24" s="1">
        <v>0.785803442631462</v>
      </c>
      <c r="AG24" s="1">
        <v>0.766689868083797</v>
      </c>
      <c r="AH24" s="1">
        <v>0.786249401796499</v>
      </c>
      <c r="AI24" s="1">
        <v>0.817325280138615</v>
      </c>
      <c r="AJ24" s="1">
        <v>0.781924511331681</v>
      </c>
      <c r="AK24" s="1">
        <v>0.803412863166599</v>
      </c>
      <c r="AL24" s="1">
        <v>0.806907716196241</v>
      </c>
      <c r="AM24" s="1">
        <v>0.259606105382865</v>
      </c>
      <c r="AN24" s="1">
        <v>0.594619347841047</v>
      </c>
      <c r="AO24" s="1">
        <v>7</v>
      </c>
    </row>
    <row r="25" s="1" customFormat="1" spans="1:41">
      <c r="A25" s="1" t="s">
        <v>41</v>
      </c>
      <c r="B25" s="1" t="s">
        <v>114</v>
      </c>
      <c r="C25" s="1">
        <v>609.354008</v>
      </c>
      <c r="D25" s="1" t="s">
        <v>115</v>
      </c>
      <c r="E25" s="1" t="s">
        <v>116</v>
      </c>
      <c r="F25" s="1" t="s">
        <v>45</v>
      </c>
      <c r="G25" s="1" t="s">
        <v>46</v>
      </c>
      <c r="H25" s="1">
        <v>8</v>
      </c>
      <c r="I25" s="1">
        <v>64</v>
      </c>
      <c r="J25" s="1">
        <v>64</v>
      </c>
      <c r="K25" s="1">
        <v>100</v>
      </c>
      <c r="L25" s="1">
        <v>40</v>
      </c>
      <c r="M25" s="1">
        <v>62.5</v>
      </c>
      <c r="N25" s="1">
        <v>40</v>
      </c>
      <c r="O25" s="1">
        <v>62.5</v>
      </c>
      <c r="P25" s="1">
        <v>-6.970575</v>
      </c>
      <c r="Q25" s="1">
        <f t="shared" si="0"/>
        <v>-278.823</v>
      </c>
      <c r="R25" s="1">
        <v>-6.3685</v>
      </c>
      <c r="S25" s="1">
        <v>-11.809</v>
      </c>
      <c r="T25" s="1">
        <v>-4.889</v>
      </c>
      <c r="U25" s="1">
        <v>-5.563225</v>
      </c>
      <c r="V25" s="1">
        <v>-5.064</v>
      </c>
      <c r="W25" s="1">
        <v>-5.82785</v>
      </c>
      <c r="X25" s="1">
        <v>-5.1735</v>
      </c>
      <c r="Y25" s="1">
        <v>0.364769475601212</v>
      </c>
      <c r="Z25" s="1">
        <v>0.366561830372855</v>
      </c>
      <c r="AA25" s="1">
        <v>0.693125</v>
      </c>
      <c r="AB25" s="1">
        <v>0.69</v>
      </c>
      <c r="AC25" s="1">
        <v>0.284455849697483</v>
      </c>
      <c r="AD25" s="1">
        <v>0.285971017852453</v>
      </c>
      <c r="AE25" s="1">
        <v>0.762515103341973</v>
      </c>
      <c r="AF25" s="1">
        <v>0.796357542213553</v>
      </c>
      <c r="AG25" s="1">
        <v>0.744268315028123</v>
      </c>
      <c r="AH25" s="1">
        <v>0.799128920184</v>
      </c>
      <c r="AI25" s="1">
        <v>0.812267380856558</v>
      </c>
      <c r="AJ25" s="1" t="s">
        <v>50</v>
      </c>
      <c r="AK25" s="1">
        <v>0.813652469060645</v>
      </c>
      <c r="AL25" s="1">
        <v>0.824468680498034</v>
      </c>
      <c r="AM25" s="1">
        <v>0.418728767963398</v>
      </c>
      <c r="AN25" s="1">
        <v>0.636326583390367</v>
      </c>
      <c r="AO25" s="1">
        <v>8</v>
      </c>
    </row>
    <row r="26" s="1" customFormat="1" spans="1:41">
      <c r="A26" s="1" t="s">
        <v>41</v>
      </c>
      <c r="B26" s="1" t="s">
        <v>117</v>
      </c>
      <c r="C26" s="1">
        <v>1858.80488</v>
      </c>
      <c r="D26" s="1" t="s">
        <v>118</v>
      </c>
      <c r="E26" s="1" t="s">
        <v>119</v>
      </c>
      <c r="F26" s="1" t="s">
        <v>45</v>
      </c>
      <c r="G26" s="1" t="s">
        <v>46</v>
      </c>
      <c r="H26" s="1">
        <v>8</v>
      </c>
      <c r="I26" s="1">
        <v>64</v>
      </c>
      <c r="J26" s="1">
        <v>63</v>
      </c>
      <c r="K26" s="1">
        <v>98.4375</v>
      </c>
      <c r="L26" s="1">
        <v>49</v>
      </c>
      <c r="M26" s="1">
        <v>76.5625</v>
      </c>
      <c r="N26" s="1">
        <v>49</v>
      </c>
      <c r="O26" s="1">
        <v>76.5625</v>
      </c>
      <c r="P26" s="1">
        <v>-7.16402040816326</v>
      </c>
      <c r="Q26" s="1">
        <f t="shared" si="0"/>
        <v>-351.037</v>
      </c>
      <c r="R26" s="1">
        <v>-7.11</v>
      </c>
      <c r="S26" s="1">
        <v>-9.452</v>
      </c>
      <c r="T26" s="1">
        <v>-5.368</v>
      </c>
      <c r="U26" s="1">
        <v>-5.29548979591837</v>
      </c>
      <c r="V26" s="1">
        <v>-5.179</v>
      </c>
      <c r="W26" s="1">
        <v>-5.69563265306122</v>
      </c>
      <c r="X26" s="1">
        <v>-5.552</v>
      </c>
      <c r="Y26" s="1">
        <v>0.230872906126427</v>
      </c>
      <c r="Z26" s="1">
        <v>0.197958917992505</v>
      </c>
      <c r="AA26" s="1">
        <v>0.582698412698413</v>
      </c>
      <c r="AB26" s="1">
        <v>0.6</v>
      </c>
      <c r="AC26" s="1">
        <v>0.1665742710687</v>
      </c>
      <c r="AD26" s="1">
        <v>0.165961435196488</v>
      </c>
      <c r="AE26" s="1">
        <v>0.734391645563235</v>
      </c>
      <c r="AF26" s="1">
        <v>0.801372372108653</v>
      </c>
      <c r="AG26" s="1">
        <v>0.811362625967176</v>
      </c>
      <c r="AH26" s="1">
        <v>0.791686129549513</v>
      </c>
      <c r="AI26" s="1">
        <v>0.807606062731842</v>
      </c>
      <c r="AJ26" s="1">
        <v>0.799269455794059</v>
      </c>
      <c r="AK26" s="1">
        <v>0.813938300254955</v>
      </c>
      <c r="AL26" s="1">
        <v>0.814050876774917</v>
      </c>
      <c r="AM26" s="1">
        <v>0.282554610959901</v>
      </c>
      <c r="AN26" s="1">
        <v>0.608878822794714</v>
      </c>
      <c r="AO26" s="1">
        <v>9</v>
      </c>
    </row>
    <row r="27" s="1" customFormat="1" spans="1:41">
      <c r="A27" s="1" t="s">
        <v>120</v>
      </c>
      <c r="B27" s="1" t="s">
        <v>121</v>
      </c>
      <c r="C27" s="1">
        <v>725.419587</v>
      </c>
      <c r="D27" s="1" t="s">
        <v>122</v>
      </c>
      <c r="E27" s="1" t="s">
        <v>123</v>
      </c>
      <c r="F27" s="1" t="s">
        <v>45</v>
      </c>
      <c r="G27" s="1" t="s">
        <v>46</v>
      </c>
      <c r="H27" s="1">
        <v>8</v>
      </c>
      <c r="I27" s="1">
        <v>64</v>
      </c>
      <c r="J27" s="1">
        <v>64</v>
      </c>
      <c r="K27" s="1">
        <v>100</v>
      </c>
      <c r="L27" s="1">
        <v>43</v>
      </c>
      <c r="M27" s="1">
        <v>67.1875</v>
      </c>
      <c r="N27" s="1">
        <v>43</v>
      </c>
      <c r="O27" s="1">
        <v>67.1875</v>
      </c>
      <c r="P27" s="1">
        <v>-6.45097674418605</v>
      </c>
      <c r="Q27" s="1">
        <f t="shared" si="0"/>
        <v>-277.392</v>
      </c>
      <c r="R27" s="1">
        <v>-5.937</v>
      </c>
      <c r="S27" s="1">
        <v>-9.895</v>
      </c>
      <c r="T27" s="1">
        <v>-4.64</v>
      </c>
      <c r="U27" s="1">
        <v>-4.75123255813953</v>
      </c>
      <c r="V27" s="1">
        <v>-4.737</v>
      </c>
      <c r="W27" s="1">
        <v>-4.95560465116279</v>
      </c>
      <c r="X27" s="1">
        <v>-4.926</v>
      </c>
      <c r="Y27" s="1">
        <v>0.357511177601123</v>
      </c>
      <c r="Z27" s="1">
        <v>0.350465034219379</v>
      </c>
      <c r="AA27" s="1">
        <v>0.6903125</v>
      </c>
      <c r="AB27" s="1">
        <v>0.685</v>
      </c>
      <c r="AC27" s="1">
        <v>0.189137698515499</v>
      </c>
      <c r="AD27" s="1">
        <v>0.177842278090491</v>
      </c>
      <c r="AE27" s="1">
        <v>0.769540613224008</v>
      </c>
      <c r="AF27" s="1">
        <v>0.811653880252005</v>
      </c>
      <c r="AG27" s="1">
        <v>0.818497451922967</v>
      </c>
      <c r="AH27" s="1">
        <v>0.797918490573318</v>
      </c>
      <c r="AI27" s="1">
        <v>0.81736849256018</v>
      </c>
      <c r="AJ27" s="1">
        <v>0.7900334184485</v>
      </c>
      <c r="AK27" s="1">
        <v>0.814428877784326</v>
      </c>
      <c r="AL27" s="1">
        <v>0.817362918348873</v>
      </c>
      <c r="AM27" s="1">
        <v>0.393174827106577</v>
      </c>
      <c r="AN27" s="1">
        <v>0.674272851925915</v>
      </c>
      <c r="AO27" s="1">
        <v>25</v>
      </c>
    </row>
    <row r="28" s="1" customFormat="1" spans="1:41">
      <c r="A28" s="1" t="s">
        <v>124</v>
      </c>
      <c r="B28" s="1" t="s">
        <v>125</v>
      </c>
      <c r="C28" s="1">
        <v>1529.787711</v>
      </c>
      <c r="D28" s="1" t="s">
        <v>126</v>
      </c>
      <c r="E28" s="1" t="s">
        <v>127</v>
      </c>
      <c r="F28" s="1" t="s">
        <v>45</v>
      </c>
      <c r="G28" s="1" t="s">
        <v>46</v>
      </c>
      <c r="H28" s="1">
        <v>8</v>
      </c>
      <c r="I28" s="1">
        <v>64</v>
      </c>
      <c r="J28" s="1">
        <v>55</v>
      </c>
      <c r="K28" s="1">
        <v>85.9375</v>
      </c>
      <c r="L28" s="1">
        <v>38</v>
      </c>
      <c r="M28" s="1">
        <v>59.375</v>
      </c>
      <c r="N28" s="1">
        <v>38</v>
      </c>
      <c r="O28" s="1">
        <v>59.375</v>
      </c>
      <c r="P28" s="1">
        <v>-8.87281578947368</v>
      </c>
      <c r="Q28" s="1">
        <f t="shared" si="0"/>
        <v>-337.167</v>
      </c>
      <c r="R28" s="1">
        <v>-8.7615</v>
      </c>
      <c r="S28" s="1">
        <v>-10.792</v>
      </c>
      <c r="T28" s="1">
        <v>-7.272</v>
      </c>
      <c r="U28" s="1">
        <v>-6.5538947368421</v>
      </c>
      <c r="V28" s="1">
        <v>-6.4815</v>
      </c>
      <c r="W28" s="1">
        <v>-6.84152631578947</v>
      </c>
      <c r="X28" s="1">
        <v>-6.765</v>
      </c>
      <c r="Y28" s="1">
        <v>0.135834422105605</v>
      </c>
      <c r="Z28" s="1">
        <v>0.118449991838237</v>
      </c>
      <c r="AA28" s="1">
        <v>0.53</v>
      </c>
      <c r="AB28" s="1">
        <v>0.52</v>
      </c>
      <c r="AC28" s="1">
        <v>0.170421128896703</v>
      </c>
      <c r="AD28" s="1">
        <v>0.163327550192301</v>
      </c>
      <c r="AE28" s="1">
        <v>0.745370980250778</v>
      </c>
      <c r="AF28" s="1">
        <v>0.810925734020158</v>
      </c>
      <c r="AG28" s="1">
        <v>0.790013239697977</v>
      </c>
      <c r="AH28" s="1">
        <v>0.781548661300657</v>
      </c>
      <c r="AI28" s="1">
        <v>0.806214159504556</v>
      </c>
      <c r="AJ28" s="1">
        <v>0.823807002289063</v>
      </c>
      <c r="AK28" s="1">
        <v>0.819153257614435</v>
      </c>
      <c r="AL28" s="1">
        <v>0.810480281620645</v>
      </c>
      <c r="AM28" s="1">
        <v>0.282196395975177</v>
      </c>
      <c r="AN28" s="1">
        <v>0.631970275685549</v>
      </c>
      <c r="AO28" s="1">
        <v>26</v>
      </c>
    </row>
    <row r="29" s="1" customFormat="1" spans="1:41">
      <c r="A29" s="1" t="s">
        <v>128</v>
      </c>
      <c r="B29" s="1" t="s">
        <v>129</v>
      </c>
      <c r="C29" s="1">
        <v>1943.72119</v>
      </c>
      <c r="D29" s="1" t="s">
        <v>130</v>
      </c>
      <c r="E29" s="1" t="s">
        <v>131</v>
      </c>
      <c r="F29" s="1" t="s">
        <v>45</v>
      </c>
      <c r="G29" s="1" t="s">
        <v>46</v>
      </c>
      <c r="H29" s="1">
        <v>8</v>
      </c>
      <c r="I29" s="1">
        <v>64</v>
      </c>
      <c r="J29" s="1">
        <v>63</v>
      </c>
      <c r="K29" s="1">
        <v>98.4375</v>
      </c>
      <c r="L29" s="1">
        <v>37</v>
      </c>
      <c r="M29" s="1">
        <v>57.8125</v>
      </c>
      <c r="N29" s="1">
        <v>37</v>
      </c>
      <c r="O29" s="1">
        <v>57.8125</v>
      </c>
      <c r="P29" s="1">
        <v>-8.93183783783784</v>
      </c>
      <c r="Q29" s="1">
        <f t="shared" si="0"/>
        <v>-330.478</v>
      </c>
      <c r="R29" s="1">
        <v>-9.139</v>
      </c>
      <c r="S29" s="1">
        <v>-10.815</v>
      </c>
      <c r="T29" s="1">
        <v>-5.609</v>
      </c>
      <c r="U29" s="1">
        <v>-7.15197297297297</v>
      </c>
      <c r="V29" s="1">
        <v>-7.157</v>
      </c>
      <c r="W29" s="1">
        <v>-7.50443243243243</v>
      </c>
      <c r="X29" s="1">
        <v>-7.408</v>
      </c>
      <c r="Y29" s="1">
        <v>0.205161339803583</v>
      </c>
      <c r="Z29" s="1">
        <v>0.171516199071243</v>
      </c>
      <c r="AA29" s="1">
        <v>0.607142857142857</v>
      </c>
      <c r="AB29" s="1">
        <v>0.59</v>
      </c>
      <c r="AC29" s="1">
        <v>0.187004883508328</v>
      </c>
      <c r="AD29" s="1">
        <v>0.176710883025544</v>
      </c>
      <c r="AE29" s="1">
        <v>0.73281736264277</v>
      </c>
      <c r="AF29" s="1">
        <v>0.792785628013452</v>
      </c>
      <c r="AG29" s="1">
        <v>0.792758972388469</v>
      </c>
      <c r="AH29" s="1">
        <v>0.793956235041567</v>
      </c>
      <c r="AI29" s="1">
        <v>0.815009608633463</v>
      </c>
      <c r="AJ29" s="1">
        <v>0.766372595014533</v>
      </c>
      <c r="AK29" s="1">
        <v>0.804850539078092</v>
      </c>
      <c r="AL29" s="1">
        <v>0.820265957635724</v>
      </c>
      <c r="AM29" s="1">
        <v>0.287905546230379</v>
      </c>
      <c r="AN29" s="1">
        <v>0.595829630136392</v>
      </c>
      <c r="AO29" s="1">
        <v>27</v>
      </c>
    </row>
    <row r="30" s="1" customFormat="1" spans="1:41">
      <c r="A30" s="1" t="s">
        <v>132</v>
      </c>
      <c r="B30" s="1" t="s">
        <v>133</v>
      </c>
      <c r="C30" s="1">
        <v>550.767912</v>
      </c>
      <c r="D30" s="1" t="s">
        <v>134</v>
      </c>
      <c r="E30" s="1" t="s">
        <v>135</v>
      </c>
      <c r="F30" s="1" t="s">
        <v>45</v>
      </c>
      <c r="G30" s="1" t="s">
        <v>46</v>
      </c>
      <c r="H30" s="1">
        <v>8</v>
      </c>
      <c r="I30" s="1">
        <v>64</v>
      </c>
      <c r="J30" s="1">
        <v>63</v>
      </c>
      <c r="K30" s="1">
        <v>98.4375</v>
      </c>
      <c r="L30" s="1">
        <v>28</v>
      </c>
      <c r="M30" s="1">
        <v>43.75</v>
      </c>
      <c r="N30" s="1">
        <v>28</v>
      </c>
      <c r="O30" s="1">
        <v>43.75</v>
      </c>
      <c r="P30" s="1">
        <v>-5.96485714285714</v>
      </c>
      <c r="Q30" s="1">
        <f t="shared" si="0"/>
        <v>-167.016</v>
      </c>
      <c r="R30" s="1">
        <v>-5.643</v>
      </c>
      <c r="S30" s="1">
        <v>-9.143</v>
      </c>
      <c r="T30" s="1">
        <v>-4.649</v>
      </c>
      <c r="U30" s="1">
        <v>-2.87439285714286</v>
      </c>
      <c r="V30" s="1">
        <v>-2.7095</v>
      </c>
      <c r="W30" s="1">
        <v>-3.42292857142857</v>
      </c>
      <c r="X30" s="1">
        <v>-3.459</v>
      </c>
      <c r="Y30" s="1">
        <v>0.381883730289436</v>
      </c>
      <c r="Z30" s="1">
        <v>0.346477287718105</v>
      </c>
      <c r="AA30" s="1">
        <v>0.652857142857143</v>
      </c>
      <c r="AB30" s="1">
        <v>0.64</v>
      </c>
      <c r="AC30" s="1">
        <v>0.251530289530823</v>
      </c>
      <c r="AD30" s="1">
        <v>0.249080254803719</v>
      </c>
      <c r="AE30" s="1">
        <v>0.740190637329845</v>
      </c>
      <c r="AF30" s="1">
        <v>0.810376575537292</v>
      </c>
      <c r="AG30" s="1">
        <v>0.795150910806287</v>
      </c>
      <c r="AH30" s="1">
        <v>0.830035275729426</v>
      </c>
      <c r="AI30" s="1">
        <v>0.794969548907699</v>
      </c>
      <c r="AJ30" s="1" t="s">
        <v>50</v>
      </c>
      <c r="AK30" s="1">
        <v>0.811461131872018</v>
      </c>
      <c r="AL30" s="1">
        <v>0.802889749335205</v>
      </c>
      <c r="AM30" s="1">
        <v>0.332044305835037</v>
      </c>
      <c r="AN30" s="1">
        <v>0.625638900727482</v>
      </c>
      <c r="AO30" s="1">
        <v>28</v>
      </c>
    </row>
    <row r="31" s="1" customFormat="1" spans="1:41">
      <c r="A31" s="1" t="s">
        <v>136</v>
      </c>
      <c r="B31" s="1" t="s">
        <v>137</v>
      </c>
      <c r="C31" s="1">
        <v>464.60068</v>
      </c>
      <c r="D31" s="1" t="s">
        <v>138</v>
      </c>
      <c r="E31" s="1" t="s">
        <v>139</v>
      </c>
      <c r="F31" s="1" t="s">
        <v>45</v>
      </c>
      <c r="G31" s="1" t="s">
        <v>46</v>
      </c>
      <c r="H31" s="1">
        <v>8</v>
      </c>
      <c r="I31" s="1">
        <v>64</v>
      </c>
      <c r="J31" s="1">
        <v>61</v>
      </c>
      <c r="K31" s="1">
        <v>95.3125</v>
      </c>
      <c r="L31" s="1">
        <v>24</v>
      </c>
      <c r="M31" s="1">
        <v>37.5</v>
      </c>
      <c r="N31" s="1">
        <v>24</v>
      </c>
      <c r="O31" s="1">
        <v>37.5</v>
      </c>
      <c r="P31" s="1">
        <v>-6.435875</v>
      </c>
      <c r="Q31" s="1">
        <f t="shared" si="0"/>
        <v>-154.461</v>
      </c>
      <c r="R31" s="1">
        <v>-6.367</v>
      </c>
      <c r="S31" s="1">
        <v>-9.442</v>
      </c>
      <c r="T31" s="1">
        <v>-4.347</v>
      </c>
      <c r="U31" s="1">
        <v>-3.668375</v>
      </c>
      <c r="V31" s="1">
        <v>-3.5315</v>
      </c>
      <c r="W31" s="1">
        <v>-4.17004166666667</v>
      </c>
      <c r="X31" s="1">
        <v>-4.089</v>
      </c>
      <c r="Y31" s="1">
        <v>0.29704032665202</v>
      </c>
      <c r="Z31" s="1">
        <v>0.304987544910671</v>
      </c>
      <c r="AA31" s="1">
        <v>0.659180327868852</v>
      </c>
      <c r="AB31" s="1">
        <v>0.65</v>
      </c>
      <c r="AC31" s="1">
        <v>0.220581351498025</v>
      </c>
      <c r="AD31" s="1">
        <v>0.178424253684933</v>
      </c>
      <c r="AE31" s="1">
        <v>0.770618961453876</v>
      </c>
      <c r="AF31" s="1">
        <v>0.808433818948542</v>
      </c>
      <c r="AG31" s="1">
        <v>0.82997023096813</v>
      </c>
      <c r="AH31" s="1">
        <v>0.810428848149003</v>
      </c>
      <c r="AI31" s="1">
        <v>0.808083449459076</v>
      </c>
      <c r="AJ31" s="1">
        <v>0.832534919206192</v>
      </c>
      <c r="AK31" s="1">
        <v>0.806249456978592</v>
      </c>
      <c r="AL31" s="1">
        <v>0.82007724057292</v>
      </c>
      <c r="AM31" s="1">
        <v>0.371899832113223</v>
      </c>
      <c r="AN31" s="1">
        <v>0.674406909219437</v>
      </c>
      <c r="AO31" s="1">
        <v>29</v>
      </c>
    </row>
    <row r="32" s="1" customFormat="1" spans="1:41">
      <c r="A32" s="1" t="s">
        <v>140</v>
      </c>
      <c r="B32" s="1" t="s">
        <v>141</v>
      </c>
      <c r="C32" s="1">
        <v>1036.270236</v>
      </c>
      <c r="D32" s="1" t="s">
        <v>142</v>
      </c>
      <c r="E32" s="1" t="s">
        <v>143</v>
      </c>
      <c r="F32" s="1" t="s">
        <v>45</v>
      </c>
      <c r="G32" s="1" t="s">
        <v>46</v>
      </c>
      <c r="H32" s="1">
        <v>8</v>
      </c>
      <c r="I32" s="1">
        <v>64</v>
      </c>
      <c r="J32" s="1">
        <v>63</v>
      </c>
      <c r="K32" s="1">
        <v>98.4375</v>
      </c>
      <c r="L32" s="1">
        <v>55</v>
      </c>
      <c r="M32" s="1">
        <v>85.9375</v>
      </c>
      <c r="N32" s="1">
        <v>55</v>
      </c>
      <c r="O32" s="1">
        <v>85.9375</v>
      </c>
      <c r="P32" s="1">
        <v>-6.77956363636363</v>
      </c>
      <c r="Q32" s="1">
        <f t="shared" si="0"/>
        <v>-372.876</v>
      </c>
      <c r="R32" s="1">
        <v>-6.662</v>
      </c>
      <c r="S32" s="1">
        <v>-11.125</v>
      </c>
      <c r="T32" s="1">
        <v>-3.888</v>
      </c>
      <c r="U32" s="1">
        <v>-5.25350909090909</v>
      </c>
      <c r="V32" s="1">
        <v>-5.203</v>
      </c>
      <c r="W32" s="1">
        <v>-5.7256</v>
      </c>
      <c r="X32" s="1">
        <v>-5.804</v>
      </c>
      <c r="Y32" s="1">
        <v>0.425765859417558</v>
      </c>
      <c r="Z32" s="1">
        <v>0.417988732215568</v>
      </c>
      <c r="AA32" s="1">
        <v>0.64968253968254</v>
      </c>
      <c r="AB32" s="1">
        <v>0.64</v>
      </c>
      <c r="AC32" s="1">
        <v>0.174588966729067</v>
      </c>
      <c r="AD32" s="1">
        <v>0.153614921180605</v>
      </c>
      <c r="AE32" s="1">
        <v>0.745540004412397</v>
      </c>
      <c r="AF32" s="1">
        <v>0.810754668795691</v>
      </c>
      <c r="AG32" s="1">
        <v>0.79252965677412</v>
      </c>
      <c r="AH32" s="1">
        <v>0.799964742428487</v>
      </c>
      <c r="AI32" s="1">
        <v>0.821547771712246</v>
      </c>
      <c r="AJ32" s="1">
        <v>0.807148630801064</v>
      </c>
      <c r="AK32" s="1">
        <v>0.80525582747992</v>
      </c>
      <c r="AL32" s="1">
        <v>0.801822465807965</v>
      </c>
      <c r="AM32" s="1">
        <v>0.313456125283053</v>
      </c>
      <c r="AN32" s="1">
        <v>0.627042994058218</v>
      </c>
      <c r="AO32" s="1">
        <v>30</v>
      </c>
    </row>
    <row r="33" s="1" customFormat="1" spans="1:41">
      <c r="A33" s="1" t="s">
        <v>144</v>
      </c>
      <c r="B33" s="1" t="s">
        <v>145</v>
      </c>
      <c r="C33" s="1">
        <v>1707.155053</v>
      </c>
      <c r="D33" s="1" t="s">
        <v>146</v>
      </c>
      <c r="E33" s="1" t="s">
        <v>147</v>
      </c>
      <c r="F33" s="1" t="s">
        <v>45</v>
      </c>
      <c r="G33" s="1" t="s">
        <v>46</v>
      </c>
      <c r="H33" s="1">
        <v>8</v>
      </c>
      <c r="I33" s="1">
        <v>64</v>
      </c>
      <c r="J33" s="1">
        <v>63</v>
      </c>
      <c r="K33" s="1">
        <v>98.4375</v>
      </c>
      <c r="L33" s="1">
        <v>29</v>
      </c>
      <c r="M33" s="1">
        <v>45.3125</v>
      </c>
      <c r="N33" s="1">
        <v>29</v>
      </c>
      <c r="O33" s="1">
        <v>45.3125</v>
      </c>
      <c r="P33" s="1">
        <v>-10.8502413793103</v>
      </c>
      <c r="Q33" s="1">
        <f t="shared" si="0"/>
        <v>-314.656999999999</v>
      </c>
      <c r="R33" s="1">
        <v>-10.531</v>
      </c>
      <c r="S33" s="1">
        <v>-14.227</v>
      </c>
      <c r="T33" s="1">
        <v>-8.635</v>
      </c>
      <c r="U33" s="1">
        <v>2.94896551724138</v>
      </c>
      <c r="V33" s="1">
        <v>-4.677</v>
      </c>
      <c r="W33" s="1">
        <v>-7.58493103448276</v>
      </c>
      <c r="X33" s="1">
        <v>-8.523</v>
      </c>
      <c r="Y33" s="1">
        <v>0.143046375784126</v>
      </c>
      <c r="Z33" s="1">
        <v>0.10783970073525</v>
      </c>
      <c r="AA33" s="1">
        <v>0.558412698412698</v>
      </c>
      <c r="AB33" s="1">
        <v>0.54</v>
      </c>
      <c r="AC33" s="1">
        <v>0.203719303778701</v>
      </c>
      <c r="AD33" s="1">
        <v>0.202882484929641</v>
      </c>
      <c r="AE33" s="1">
        <v>0.720939068481278</v>
      </c>
      <c r="AF33" s="1">
        <v>0.792590165235186</v>
      </c>
      <c r="AG33" s="1">
        <v>0.828319090763</v>
      </c>
      <c r="AH33" s="1">
        <v>0.801710159868862</v>
      </c>
      <c r="AI33" s="1">
        <v>0.830295914318409</v>
      </c>
      <c r="AJ33" s="1">
        <v>0.828163003763044</v>
      </c>
      <c r="AK33" s="1">
        <v>0.804888580221159</v>
      </c>
      <c r="AL33" s="1">
        <v>0.81660503108346</v>
      </c>
      <c r="AM33" s="1">
        <v>0.261895417188863</v>
      </c>
      <c r="AN33" s="1">
        <v>0.585066710225919</v>
      </c>
      <c r="AO33" s="1">
        <v>31</v>
      </c>
    </row>
    <row r="34" s="1" customFormat="1" spans="1:41">
      <c r="A34" s="1" t="s">
        <v>148</v>
      </c>
      <c r="B34" s="1" t="s">
        <v>149</v>
      </c>
      <c r="C34" s="1">
        <v>1651.484517</v>
      </c>
      <c r="D34" s="1" t="s">
        <v>150</v>
      </c>
      <c r="E34" s="1" t="s">
        <v>151</v>
      </c>
      <c r="F34" s="1" t="s">
        <v>45</v>
      </c>
      <c r="G34" s="1" t="s">
        <v>46</v>
      </c>
      <c r="H34" s="1">
        <v>8</v>
      </c>
      <c r="I34" s="1">
        <v>64</v>
      </c>
      <c r="J34" s="1">
        <v>63</v>
      </c>
      <c r="K34" s="1">
        <v>98.4375</v>
      </c>
      <c r="L34" s="1">
        <v>41</v>
      </c>
      <c r="M34" s="1">
        <v>64.0625</v>
      </c>
      <c r="N34" s="1">
        <v>41</v>
      </c>
      <c r="O34" s="1">
        <v>64.0625</v>
      </c>
      <c r="P34" s="1">
        <v>-8.05046341463414</v>
      </c>
      <c r="Q34" s="1">
        <f t="shared" si="0"/>
        <v>-330.069</v>
      </c>
      <c r="R34" s="1">
        <v>-7.977</v>
      </c>
      <c r="S34" s="1">
        <v>-12.144</v>
      </c>
      <c r="T34" s="1">
        <v>-5.877</v>
      </c>
      <c r="U34" s="1">
        <v>-5.26180487804878</v>
      </c>
      <c r="V34" s="1">
        <v>-5.016</v>
      </c>
      <c r="W34" s="1">
        <v>-5.7619756097561</v>
      </c>
      <c r="X34" s="1">
        <v>-5.628</v>
      </c>
      <c r="Y34" s="1">
        <v>0.218625068599448</v>
      </c>
      <c r="Z34" s="1">
        <v>0.204015508618511</v>
      </c>
      <c r="AA34" s="1">
        <v>0.573333333333333</v>
      </c>
      <c r="AB34" s="1">
        <v>0.57</v>
      </c>
      <c r="AC34" s="1">
        <v>0.220454682349859</v>
      </c>
      <c r="AD34" s="1">
        <v>0.201422753061546</v>
      </c>
      <c r="AE34" s="1">
        <v>0.740662868756632</v>
      </c>
      <c r="AF34" s="1">
        <v>0.786388334468932</v>
      </c>
      <c r="AG34" s="1">
        <v>0.800208493402493</v>
      </c>
      <c r="AH34" s="1">
        <v>0.78834977805094</v>
      </c>
      <c r="AI34" s="1">
        <v>0.819101228219764</v>
      </c>
      <c r="AJ34" s="1">
        <v>0.798302646437015</v>
      </c>
      <c r="AK34" s="1">
        <v>0.798110520286879</v>
      </c>
      <c r="AL34" s="1">
        <v>0.821664878843328</v>
      </c>
      <c r="AM34" s="1">
        <v>0.281636939612576</v>
      </c>
      <c r="AN34" s="1">
        <v>0.604098718281349</v>
      </c>
      <c r="AO34" s="1">
        <v>32</v>
      </c>
    </row>
    <row r="35" s="1" customFormat="1" spans="1:41">
      <c r="A35" s="1" t="s">
        <v>152</v>
      </c>
      <c r="B35" s="1" t="s">
        <v>153</v>
      </c>
      <c r="C35" s="1">
        <v>1175.73768</v>
      </c>
      <c r="D35" s="1" t="s">
        <v>154</v>
      </c>
      <c r="E35" s="1" t="s">
        <v>155</v>
      </c>
      <c r="F35" s="1" t="s">
        <v>45</v>
      </c>
      <c r="G35" s="1" t="s">
        <v>46</v>
      </c>
      <c r="H35" s="1">
        <v>8</v>
      </c>
      <c r="I35" s="1">
        <v>64</v>
      </c>
      <c r="J35" s="1">
        <v>64</v>
      </c>
      <c r="K35" s="1">
        <v>100</v>
      </c>
      <c r="L35" s="1">
        <v>48</v>
      </c>
      <c r="M35" s="1">
        <v>75</v>
      </c>
      <c r="N35" s="1">
        <v>48</v>
      </c>
      <c r="O35" s="1">
        <v>75</v>
      </c>
      <c r="P35" s="1">
        <v>-7.37591666666667</v>
      </c>
      <c r="Q35" s="1">
        <f t="shared" ref="Q35:Q66" si="1">PRODUCT(N35,P35)</f>
        <v>-354.044</v>
      </c>
      <c r="R35" s="1">
        <v>-7.242</v>
      </c>
      <c r="S35" s="1">
        <v>-11.501</v>
      </c>
      <c r="T35" s="1">
        <v>-4.292</v>
      </c>
      <c r="U35" s="1">
        <v>-4.4648125</v>
      </c>
      <c r="V35" s="1">
        <v>-5.079</v>
      </c>
      <c r="W35" s="1">
        <v>-5.8509375</v>
      </c>
      <c r="X35" s="1">
        <v>-5.8655</v>
      </c>
      <c r="Y35" s="1">
        <v>0.305309219406675</v>
      </c>
      <c r="Z35" s="1">
        <v>0.267255997383163</v>
      </c>
      <c r="AA35" s="1">
        <v>0.65671875</v>
      </c>
      <c r="AB35" s="1">
        <v>0.66</v>
      </c>
      <c r="AC35" s="1">
        <v>0.267574635455317</v>
      </c>
      <c r="AD35" s="1">
        <v>0.2722032236908</v>
      </c>
      <c r="AE35" s="1">
        <v>0.730196917179041</v>
      </c>
      <c r="AF35" s="1">
        <v>0.795610664543523</v>
      </c>
      <c r="AG35" s="1">
        <v>0.780242164951818</v>
      </c>
      <c r="AH35" s="1">
        <v>0.786764869174197</v>
      </c>
      <c r="AI35" s="1">
        <v>0.815715579545117</v>
      </c>
      <c r="AJ35" s="1">
        <v>0.773471003912707</v>
      </c>
      <c r="AK35" s="1">
        <v>0.8063547717623</v>
      </c>
      <c r="AL35" s="1">
        <v>0.802419663018189</v>
      </c>
      <c r="AM35" s="1">
        <v>0.325679461293495</v>
      </c>
      <c r="AN35" s="1">
        <v>0.587178839540876</v>
      </c>
      <c r="AO35" s="1">
        <v>33</v>
      </c>
    </row>
    <row r="36" s="1" customFormat="1" spans="1:41">
      <c r="A36" s="1" t="s">
        <v>156</v>
      </c>
      <c r="B36" s="1" t="s">
        <v>157</v>
      </c>
      <c r="C36" s="1">
        <v>348.968335</v>
      </c>
      <c r="D36" s="1" t="s">
        <v>158</v>
      </c>
      <c r="E36" s="1" t="s">
        <v>159</v>
      </c>
      <c r="F36" s="1" t="s">
        <v>45</v>
      </c>
      <c r="G36" s="1" t="s">
        <v>46</v>
      </c>
      <c r="H36" s="1">
        <v>8</v>
      </c>
      <c r="I36" s="1">
        <v>64</v>
      </c>
      <c r="J36" s="1">
        <v>64</v>
      </c>
      <c r="K36" s="1">
        <v>100</v>
      </c>
      <c r="L36" s="1">
        <v>48</v>
      </c>
      <c r="M36" s="1">
        <v>75</v>
      </c>
      <c r="N36" s="1">
        <v>48</v>
      </c>
      <c r="O36" s="1">
        <v>75</v>
      </c>
      <c r="P36" s="1">
        <v>-5.64175</v>
      </c>
      <c r="Q36" s="1">
        <f t="shared" si="1"/>
        <v>-270.804</v>
      </c>
      <c r="R36" s="1">
        <v>-5.541</v>
      </c>
      <c r="S36" s="1">
        <v>-8.79</v>
      </c>
      <c r="T36" s="1">
        <v>-4.947</v>
      </c>
      <c r="U36" s="1">
        <v>-4.3373125</v>
      </c>
      <c r="V36" s="1">
        <v>-4.2955</v>
      </c>
      <c r="W36" s="1">
        <v>-4.63575</v>
      </c>
      <c r="X36" s="1">
        <v>-4.549</v>
      </c>
      <c r="Y36" s="1">
        <v>0.44725890244205</v>
      </c>
      <c r="Z36" s="1">
        <v>0.460933931352196</v>
      </c>
      <c r="AA36" s="1">
        <v>0.77796875</v>
      </c>
      <c r="AB36" s="1">
        <v>0.81</v>
      </c>
      <c r="AC36" s="1">
        <v>0.158897404173504</v>
      </c>
      <c r="AD36" s="1">
        <v>0.149008937310616</v>
      </c>
      <c r="AE36" s="1">
        <v>0.76505036214102</v>
      </c>
      <c r="AF36" s="1">
        <v>0.808524906768362</v>
      </c>
      <c r="AG36" s="1" t="s">
        <v>50</v>
      </c>
      <c r="AH36" s="1">
        <v>0.819539417607666</v>
      </c>
      <c r="AI36" s="1">
        <v>0.830309433589736</v>
      </c>
      <c r="AJ36" s="1" t="s">
        <v>50</v>
      </c>
      <c r="AK36" s="1">
        <v>0.795968446139057</v>
      </c>
      <c r="AL36" s="1">
        <v>0.807143648147121</v>
      </c>
      <c r="AM36" s="1">
        <v>0.499121130874088</v>
      </c>
      <c r="AN36" s="1">
        <v>0.666511042426741</v>
      </c>
      <c r="AO36" s="1">
        <v>34</v>
      </c>
    </row>
    <row r="37" s="1" customFormat="1" spans="1:41">
      <c r="A37" s="1" t="s">
        <v>160</v>
      </c>
      <c r="B37" s="1" t="s">
        <v>161</v>
      </c>
      <c r="C37" s="1">
        <v>651.868331</v>
      </c>
      <c r="D37" s="1" t="s">
        <v>162</v>
      </c>
      <c r="E37" s="1" t="s">
        <v>163</v>
      </c>
      <c r="F37" s="1" t="s">
        <v>45</v>
      </c>
      <c r="G37" s="1" t="s">
        <v>46</v>
      </c>
      <c r="H37" s="1">
        <v>8</v>
      </c>
      <c r="I37" s="1">
        <v>64</v>
      </c>
      <c r="J37" s="1">
        <v>64</v>
      </c>
      <c r="K37" s="1">
        <v>100</v>
      </c>
      <c r="L37" s="1">
        <v>50</v>
      </c>
      <c r="M37" s="1">
        <v>78.125</v>
      </c>
      <c r="N37" s="1">
        <v>50</v>
      </c>
      <c r="O37" s="1">
        <v>78.125</v>
      </c>
      <c r="P37" s="1">
        <v>-8.55252</v>
      </c>
      <c r="Q37" s="1">
        <f t="shared" si="1"/>
        <v>-427.626</v>
      </c>
      <c r="R37" s="1">
        <v>-8.1975</v>
      </c>
      <c r="S37" s="1">
        <v>-11.964</v>
      </c>
      <c r="T37" s="1">
        <v>-6.972</v>
      </c>
      <c r="U37" s="1">
        <v>-6.96242</v>
      </c>
      <c r="V37" s="1">
        <v>-7.4045</v>
      </c>
      <c r="W37" s="1">
        <v>-7.74662</v>
      </c>
      <c r="X37" s="1">
        <v>-7.735</v>
      </c>
      <c r="Y37" s="1">
        <v>0.27497317030107</v>
      </c>
      <c r="Z37" s="1">
        <v>0.252125464949729</v>
      </c>
      <c r="AA37" s="1">
        <v>0.5759375</v>
      </c>
      <c r="AB37" s="1">
        <v>0.565</v>
      </c>
      <c r="AC37" s="1">
        <v>0.242355692293988</v>
      </c>
      <c r="AD37" s="1">
        <v>0.239851873200431</v>
      </c>
      <c r="AE37" s="1">
        <v>0.789342757375518</v>
      </c>
      <c r="AF37" s="1">
        <v>0.807984122899591</v>
      </c>
      <c r="AG37" s="1" t="s">
        <v>50</v>
      </c>
      <c r="AH37" s="1">
        <v>0.784195938142407</v>
      </c>
      <c r="AI37" s="1">
        <v>0.817370591448932</v>
      </c>
      <c r="AJ37" s="1" t="s">
        <v>50</v>
      </c>
      <c r="AK37" s="1">
        <v>0.820431562084424</v>
      </c>
      <c r="AL37" s="1">
        <v>0.827638931010429</v>
      </c>
      <c r="AM37" s="1">
        <v>0.407330980106611</v>
      </c>
      <c r="AN37" s="1">
        <v>0.709320073405642</v>
      </c>
      <c r="AO37" s="1">
        <v>35</v>
      </c>
    </row>
    <row r="38" s="1" customFormat="1" spans="1:41">
      <c r="A38" s="1" t="s">
        <v>164</v>
      </c>
      <c r="B38" s="1" t="s">
        <v>165</v>
      </c>
      <c r="C38" s="1">
        <v>1843.133565</v>
      </c>
      <c r="D38" s="1" t="s">
        <v>166</v>
      </c>
      <c r="E38" s="1" t="s">
        <v>167</v>
      </c>
      <c r="F38" s="1" t="s">
        <v>45</v>
      </c>
      <c r="G38" s="1" t="s">
        <v>46</v>
      </c>
      <c r="H38" s="1">
        <v>8</v>
      </c>
      <c r="I38" s="1">
        <v>64</v>
      </c>
      <c r="J38" s="1">
        <v>62</v>
      </c>
      <c r="K38" s="1">
        <v>96.875</v>
      </c>
      <c r="L38" s="1">
        <v>49</v>
      </c>
      <c r="M38" s="1">
        <v>76.5625</v>
      </c>
      <c r="N38" s="1">
        <v>49</v>
      </c>
      <c r="O38" s="1">
        <v>76.5625</v>
      </c>
      <c r="P38" s="1">
        <v>-9.41044897959184</v>
      </c>
      <c r="Q38" s="1">
        <f t="shared" si="1"/>
        <v>-461.112</v>
      </c>
      <c r="R38" s="1">
        <v>-9.417</v>
      </c>
      <c r="S38" s="1">
        <v>-12.099</v>
      </c>
      <c r="T38" s="1">
        <v>-7.173</v>
      </c>
      <c r="U38" s="1">
        <v>-7.51322448979592</v>
      </c>
      <c r="V38" s="1">
        <v>-7.403</v>
      </c>
      <c r="W38" s="1">
        <v>-7.8524693877551</v>
      </c>
      <c r="X38" s="1">
        <v>-7.74</v>
      </c>
      <c r="Y38" s="1">
        <v>0.184274131821773</v>
      </c>
      <c r="Z38" s="1">
        <v>0.141300212711045</v>
      </c>
      <c r="AA38" s="1">
        <v>0.545322580645161</v>
      </c>
      <c r="AB38" s="1">
        <v>0.555</v>
      </c>
      <c r="AC38" s="1">
        <v>0.203266550165307</v>
      </c>
      <c r="AD38" s="1">
        <v>0.194463515693159</v>
      </c>
      <c r="AE38" s="1">
        <v>0.740721124196059</v>
      </c>
      <c r="AF38" s="1">
        <v>0.796898757080963</v>
      </c>
      <c r="AG38" s="1">
        <v>0.792084437161286</v>
      </c>
      <c r="AH38" s="1">
        <v>0.77083802132759</v>
      </c>
      <c r="AI38" s="1">
        <v>0.805355008873199</v>
      </c>
      <c r="AJ38" s="1">
        <v>0.798507047219454</v>
      </c>
      <c r="AK38" s="1">
        <v>0.814634550231249</v>
      </c>
      <c r="AL38" s="1">
        <v>0.806767495586188</v>
      </c>
      <c r="AM38" s="1">
        <v>0.281387368107185</v>
      </c>
      <c r="AN38" s="1">
        <v>0.608286150436678</v>
      </c>
      <c r="AO38" s="1">
        <v>36</v>
      </c>
    </row>
    <row r="39" s="1" customFormat="1" spans="1:41">
      <c r="A39" s="1" t="s">
        <v>168</v>
      </c>
      <c r="B39" s="1" t="s">
        <v>169</v>
      </c>
      <c r="C39" s="1">
        <v>1223.675812</v>
      </c>
      <c r="D39" s="1" t="s">
        <v>170</v>
      </c>
      <c r="E39" s="1" t="s">
        <v>171</v>
      </c>
      <c r="F39" s="1" t="s">
        <v>45</v>
      </c>
      <c r="G39" s="1" t="s">
        <v>46</v>
      </c>
      <c r="H39" s="1">
        <v>8</v>
      </c>
      <c r="I39" s="1">
        <v>64</v>
      </c>
      <c r="J39" s="1">
        <v>60</v>
      </c>
      <c r="K39" s="1">
        <v>93.75</v>
      </c>
      <c r="L39" s="1">
        <v>36</v>
      </c>
      <c r="M39" s="1">
        <v>56.25</v>
      </c>
      <c r="N39" s="1">
        <v>36</v>
      </c>
      <c r="O39" s="1">
        <v>56.25</v>
      </c>
      <c r="P39" s="1">
        <v>-7.97241666666667</v>
      </c>
      <c r="Q39" s="1">
        <f t="shared" si="1"/>
        <v>-287.007</v>
      </c>
      <c r="R39" s="1">
        <v>-7.939</v>
      </c>
      <c r="S39" s="1">
        <v>-11.177</v>
      </c>
      <c r="T39" s="1">
        <v>-5.608</v>
      </c>
      <c r="U39" s="1">
        <v>-4.80175</v>
      </c>
      <c r="V39" s="1">
        <v>-4.735</v>
      </c>
      <c r="W39" s="1">
        <v>-5.07988888888889</v>
      </c>
      <c r="X39" s="1">
        <v>-4.995</v>
      </c>
      <c r="Y39" s="1">
        <v>0.237843782281668</v>
      </c>
      <c r="Z39" s="1">
        <v>0.226756378369813</v>
      </c>
      <c r="AA39" s="1">
        <v>0.596666666666667</v>
      </c>
      <c r="AB39" s="1">
        <v>0.59</v>
      </c>
      <c r="AC39" s="1">
        <v>0.218431960535127</v>
      </c>
      <c r="AD39" s="1">
        <v>0.215882470608728</v>
      </c>
      <c r="AE39" s="1">
        <v>0.730961446794192</v>
      </c>
      <c r="AF39" s="1">
        <v>0.804295280601258</v>
      </c>
      <c r="AG39" s="1">
        <v>0.814666241755247</v>
      </c>
      <c r="AH39" s="1">
        <v>0.781652051578429</v>
      </c>
      <c r="AI39" s="1">
        <v>0.8135042842747</v>
      </c>
      <c r="AJ39" s="1">
        <v>0.810875425792967</v>
      </c>
      <c r="AK39" s="1">
        <v>0.823006744607504</v>
      </c>
      <c r="AL39" s="1">
        <v>0.821245440006266</v>
      </c>
      <c r="AM39" s="1">
        <v>0.296810926158897</v>
      </c>
      <c r="AN39" s="1">
        <v>0.61982677462423</v>
      </c>
      <c r="AO39" s="1">
        <v>37</v>
      </c>
    </row>
    <row r="40" s="1" customFormat="1" spans="1:41">
      <c r="A40" s="1" t="s">
        <v>172</v>
      </c>
      <c r="B40" s="1" t="s">
        <v>173</v>
      </c>
      <c r="C40" s="1">
        <v>687.142479</v>
      </c>
      <c r="D40" s="1" t="s">
        <v>174</v>
      </c>
      <c r="E40" s="1" t="s">
        <v>175</v>
      </c>
      <c r="F40" s="1" t="s">
        <v>45</v>
      </c>
      <c r="G40" s="1" t="s">
        <v>46</v>
      </c>
      <c r="H40" s="1">
        <v>8</v>
      </c>
      <c r="I40" s="1">
        <v>64</v>
      </c>
      <c r="J40" s="1">
        <v>63</v>
      </c>
      <c r="K40" s="1">
        <v>98.4375</v>
      </c>
      <c r="L40" s="1">
        <v>57</v>
      </c>
      <c r="M40" s="1">
        <v>89.0625</v>
      </c>
      <c r="N40" s="1">
        <v>57</v>
      </c>
      <c r="O40" s="1">
        <v>89.0625</v>
      </c>
      <c r="P40" s="1">
        <v>-3.97849122807018</v>
      </c>
      <c r="Q40" s="1">
        <f t="shared" si="1"/>
        <v>-226.774</v>
      </c>
      <c r="R40" s="1">
        <v>-3.789</v>
      </c>
      <c r="S40" s="1">
        <v>-6.907</v>
      </c>
      <c r="T40" s="1">
        <v>-3.198</v>
      </c>
      <c r="U40" s="1">
        <v>-1.46170175438596</v>
      </c>
      <c r="V40" s="1">
        <v>-1.516</v>
      </c>
      <c r="W40" s="1">
        <v>-2.08329824561403</v>
      </c>
      <c r="X40" s="1">
        <v>-1.91</v>
      </c>
      <c r="Y40" s="1">
        <v>0.385930583783769</v>
      </c>
      <c r="Z40" s="1">
        <v>0.387845623641236</v>
      </c>
      <c r="AA40" s="1">
        <v>0.651587301587301</v>
      </c>
      <c r="AB40" s="1">
        <v>0.64</v>
      </c>
      <c r="AC40" s="1">
        <v>0.279256475972694</v>
      </c>
      <c r="AD40" s="1">
        <v>0.264330011365318</v>
      </c>
      <c r="AE40" s="1">
        <v>0.794309600144809</v>
      </c>
      <c r="AF40" s="1">
        <v>0.812169455205799</v>
      </c>
      <c r="AG40" s="1" t="s">
        <v>50</v>
      </c>
      <c r="AH40" s="1">
        <v>0.809782153139673</v>
      </c>
      <c r="AI40" s="1">
        <v>0.805650511650103</v>
      </c>
      <c r="AJ40" s="1" t="s">
        <v>50</v>
      </c>
      <c r="AK40" s="1">
        <v>0.812702739589359</v>
      </c>
      <c r="AL40" s="1">
        <v>0.819442924251575</v>
      </c>
      <c r="AM40" s="1">
        <v>0.481709458185838</v>
      </c>
      <c r="AN40" s="1">
        <v>0.729079743229788</v>
      </c>
      <c r="AO40" s="1">
        <v>38</v>
      </c>
    </row>
    <row r="41" s="1" customFormat="1" spans="1:41">
      <c r="A41" s="1" t="s">
        <v>176</v>
      </c>
      <c r="B41" s="1" t="s">
        <v>177</v>
      </c>
      <c r="C41" s="1">
        <v>657.546825</v>
      </c>
      <c r="D41" s="1" t="s">
        <v>178</v>
      </c>
      <c r="E41" s="1" t="s">
        <v>179</v>
      </c>
      <c r="F41" s="1" t="s">
        <v>45</v>
      </c>
      <c r="G41" s="1" t="s">
        <v>46</v>
      </c>
      <c r="H41" s="1">
        <v>8</v>
      </c>
      <c r="I41" s="1">
        <v>64</v>
      </c>
      <c r="J41" s="1">
        <v>61</v>
      </c>
      <c r="K41" s="1">
        <v>95.3125</v>
      </c>
      <c r="L41" s="1">
        <v>35</v>
      </c>
      <c r="M41" s="1">
        <v>54.6875</v>
      </c>
      <c r="N41" s="1">
        <v>35</v>
      </c>
      <c r="O41" s="1">
        <v>54.6875</v>
      </c>
      <c r="P41" s="1">
        <v>-10.2295142857143</v>
      </c>
      <c r="Q41" s="1">
        <f t="shared" si="1"/>
        <v>-358.033000000001</v>
      </c>
      <c r="R41" s="1">
        <v>-10.004</v>
      </c>
      <c r="S41" s="1">
        <v>-17.67</v>
      </c>
      <c r="T41" s="1">
        <v>-7.441</v>
      </c>
      <c r="U41" s="1">
        <v>-4.23428571428571</v>
      </c>
      <c r="V41" s="1">
        <v>-7.054</v>
      </c>
      <c r="W41" s="1">
        <v>-8.84371428571428</v>
      </c>
      <c r="X41" s="1">
        <v>-7.882</v>
      </c>
      <c r="Y41" s="1">
        <v>0.268196201659002</v>
      </c>
      <c r="Z41" s="1">
        <v>0.202889557949637</v>
      </c>
      <c r="AA41" s="1">
        <v>0.635245901639344</v>
      </c>
      <c r="AB41" s="1">
        <v>0.64</v>
      </c>
      <c r="AC41" s="1">
        <v>0.259882842291447</v>
      </c>
      <c r="AD41" s="1">
        <v>0.275207648662138</v>
      </c>
      <c r="AE41" s="1">
        <v>0.743531946499976</v>
      </c>
      <c r="AF41" s="1">
        <v>0.798429144572103</v>
      </c>
      <c r="AG41" s="1" t="s">
        <v>50</v>
      </c>
      <c r="AH41" s="1">
        <v>0.808096886106355</v>
      </c>
      <c r="AI41" s="1">
        <v>0.816287567687558</v>
      </c>
      <c r="AJ41" s="1">
        <v>0.698945945298971</v>
      </c>
      <c r="AK41" s="1">
        <v>0.803664304524786</v>
      </c>
      <c r="AL41" s="1">
        <v>0.793298664844156</v>
      </c>
      <c r="AM41" s="1">
        <v>0.322283834879178</v>
      </c>
      <c r="AN41" s="1">
        <v>0.610796551117018</v>
      </c>
      <c r="AO41" s="1">
        <v>39</v>
      </c>
    </row>
    <row r="42" s="1" customFormat="1" spans="1:41">
      <c r="A42" s="1" t="s">
        <v>180</v>
      </c>
      <c r="B42" s="1" t="s">
        <v>181</v>
      </c>
      <c r="C42" s="1">
        <v>915.927376</v>
      </c>
      <c r="D42" s="1" t="s">
        <v>182</v>
      </c>
      <c r="E42" s="1" t="s">
        <v>183</v>
      </c>
      <c r="F42" s="1" t="s">
        <v>45</v>
      </c>
      <c r="G42" s="1" t="s">
        <v>46</v>
      </c>
      <c r="H42" s="1">
        <v>8</v>
      </c>
      <c r="I42" s="1">
        <v>64</v>
      </c>
      <c r="J42" s="1">
        <v>63</v>
      </c>
      <c r="K42" s="1">
        <v>98.4375</v>
      </c>
      <c r="L42" s="1">
        <v>53</v>
      </c>
      <c r="M42" s="1">
        <v>82.8125</v>
      </c>
      <c r="N42" s="1">
        <v>53</v>
      </c>
      <c r="O42" s="1">
        <v>82.8125</v>
      </c>
      <c r="P42" s="1">
        <v>-6.87964150943396</v>
      </c>
      <c r="Q42" s="1">
        <f t="shared" si="1"/>
        <v>-364.621</v>
      </c>
      <c r="R42" s="1">
        <v>-6.546</v>
      </c>
      <c r="S42" s="1">
        <v>-13.57</v>
      </c>
      <c r="T42" s="1">
        <v>-4.856</v>
      </c>
      <c r="U42" s="1">
        <v>-4.278</v>
      </c>
      <c r="V42" s="1">
        <v>-4.692</v>
      </c>
      <c r="W42" s="1">
        <v>-5.53711320754717</v>
      </c>
      <c r="X42" s="1">
        <v>-5.142</v>
      </c>
      <c r="Y42" s="1">
        <v>0.361628105516731</v>
      </c>
      <c r="Z42" s="1">
        <v>0.349898441036499</v>
      </c>
      <c r="AA42" s="1">
        <v>0.644444444444444</v>
      </c>
      <c r="AB42" s="1">
        <v>0.64</v>
      </c>
      <c r="AC42" s="1">
        <v>0.213921453264735</v>
      </c>
      <c r="AD42" s="1">
        <v>0.188895831650864</v>
      </c>
      <c r="AE42" s="1">
        <v>0.763696080686274</v>
      </c>
      <c r="AF42" s="1">
        <v>0.801128334518555</v>
      </c>
      <c r="AG42" s="1" t="s">
        <v>50</v>
      </c>
      <c r="AH42" s="1">
        <v>0.791906629342626</v>
      </c>
      <c r="AI42" s="1">
        <v>0.817466307025839</v>
      </c>
      <c r="AJ42" s="1" t="s">
        <v>50</v>
      </c>
      <c r="AK42" s="1">
        <v>0.807357685045175</v>
      </c>
      <c r="AL42" s="1">
        <v>0.815613727126902</v>
      </c>
      <c r="AM42" s="1">
        <v>0.382789358880145</v>
      </c>
      <c r="AN42" s="1">
        <v>0.67551195876207</v>
      </c>
      <c r="AO42" s="1">
        <v>40</v>
      </c>
    </row>
    <row r="43" s="1" customFormat="1" spans="1:41">
      <c r="A43" s="1" t="s">
        <v>184</v>
      </c>
      <c r="B43" s="1" t="s">
        <v>185</v>
      </c>
      <c r="C43" s="1">
        <v>1922.35273</v>
      </c>
      <c r="D43" s="1" t="s">
        <v>186</v>
      </c>
      <c r="E43" s="1" t="s">
        <v>187</v>
      </c>
      <c r="F43" s="1" t="s">
        <v>45</v>
      </c>
      <c r="G43" s="1" t="s">
        <v>46</v>
      </c>
      <c r="H43" s="1">
        <v>8</v>
      </c>
      <c r="I43" s="1">
        <v>64</v>
      </c>
      <c r="J43" s="1">
        <v>64</v>
      </c>
      <c r="K43" s="1">
        <v>100</v>
      </c>
      <c r="L43" s="1">
        <v>20</v>
      </c>
      <c r="M43" s="1">
        <v>31.25</v>
      </c>
      <c r="N43" s="1">
        <v>20</v>
      </c>
      <c r="O43" s="1">
        <v>31.25</v>
      </c>
      <c r="P43" s="1">
        <v>-8.5585</v>
      </c>
      <c r="Q43" s="1">
        <f t="shared" si="1"/>
        <v>-171.17</v>
      </c>
      <c r="R43" s="1">
        <v>-8.6025</v>
      </c>
      <c r="S43" s="1">
        <v>-10.705</v>
      </c>
      <c r="T43" s="1">
        <v>-6.915</v>
      </c>
      <c r="U43" s="1">
        <v>-6.0054</v>
      </c>
      <c r="V43" s="1">
        <v>-6.271</v>
      </c>
      <c r="W43" s="1">
        <v>-6.0566</v>
      </c>
      <c r="X43" s="1">
        <v>-6.0045</v>
      </c>
      <c r="Y43" s="1">
        <v>0.111001908087493</v>
      </c>
      <c r="Z43" s="1">
        <v>0.0786568664456148</v>
      </c>
      <c r="AA43" s="1">
        <v>0.571875</v>
      </c>
      <c r="AB43" s="1">
        <v>0.565</v>
      </c>
      <c r="AC43" s="1">
        <v>0.236088047575896</v>
      </c>
      <c r="AD43" s="1">
        <v>0.246985004438917</v>
      </c>
      <c r="AE43" s="1">
        <v>0.708713576194686</v>
      </c>
      <c r="AF43" s="1">
        <v>0.787343296747768</v>
      </c>
      <c r="AG43" s="1">
        <v>0.797855600479012</v>
      </c>
      <c r="AH43" s="1">
        <v>0.797004962820877</v>
      </c>
      <c r="AI43" s="1">
        <v>0.798213851322485</v>
      </c>
      <c r="AJ43" s="1">
        <v>0.828936182605987</v>
      </c>
      <c r="AK43" s="1">
        <v>0.797504534334459</v>
      </c>
      <c r="AL43" s="1">
        <v>0.816411322506285</v>
      </c>
      <c r="AM43" s="1">
        <v>0.314241565640115</v>
      </c>
      <c r="AN43" s="1">
        <v>0.603013832817764</v>
      </c>
      <c r="AO43" s="1">
        <v>41</v>
      </c>
    </row>
    <row r="44" s="1" customFormat="1" spans="1:41">
      <c r="A44" s="1" t="s">
        <v>188</v>
      </c>
      <c r="B44" s="1" t="s">
        <v>189</v>
      </c>
      <c r="C44" s="1">
        <v>527.186965</v>
      </c>
      <c r="D44" s="1" t="s">
        <v>190</v>
      </c>
      <c r="E44" s="1" t="s">
        <v>191</v>
      </c>
      <c r="F44" s="1" t="s">
        <v>45</v>
      </c>
      <c r="G44" s="1" t="s">
        <v>46</v>
      </c>
      <c r="H44" s="1">
        <v>8</v>
      </c>
      <c r="I44" s="1">
        <v>64</v>
      </c>
      <c r="J44" s="1">
        <v>62</v>
      </c>
      <c r="K44" s="1">
        <v>96.875</v>
      </c>
      <c r="L44" s="1">
        <v>20</v>
      </c>
      <c r="M44" s="1">
        <v>31.25</v>
      </c>
      <c r="N44" s="1">
        <v>20</v>
      </c>
      <c r="O44" s="1">
        <v>31.25</v>
      </c>
      <c r="P44" s="1">
        <v>-10.79635</v>
      </c>
      <c r="Q44" s="1">
        <f t="shared" si="1"/>
        <v>-215.927</v>
      </c>
      <c r="R44" s="1">
        <v>-10.6865</v>
      </c>
      <c r="S44" s="1">
        <v>-14.973</v>
      </c>
      <c r="T44" s="1">
        <v>-8.675</v>
      </c>
      <c r="U44" s="1">
        <v>-8.699</v>
      </c>
      <c r="V44" s="1">
        <v>-8.2555</v>
      </c>
      <c r="W44" s="1">
        <v>-9.11095</v>
      </c>
      <c r="X44" s="1">
        <v>-9.004</v>
      </c>
      <c r="Y44" s="1">
        <v>0.230957340684374</v>
      </c>
      <c r="Z44" s="1">
        <v>0.216409081678605</v>
      </c>
      <c r="AA44" s="1">
        <v>0.610645161290322</v>
      </c>
      <c r="AB44" s="1">
        <v>0.6</v>
      </c>
      <c r="AC44" s="1">
        <v>0.240073513549607</v>
      </c>
      <c r="AD44" s="1">
        <v>0.239852112999779</v>
      </c>
      <c r="AE44" s="1">
        <v>0.741441542220369</v>
      </c>
      <c r="AF44" s="1">
        <v>0.79962976412765</v>
      </c>
      <c r="AG44" s="1">
        <v>0.817008833188838</v>
      </c>
      <c r="AH44" s="1">
        <v>0.785767332061192</v>
      </c>
      <c r="AI44" s="1">
        <v>0.810860179278094</v>
      </c>
      <c r="AJ44" s="1">
        <v>0.771128662374456</v>
      </c>
      <c r="AK44" s="1">
        <v>0.79620361766872</v>
      </c>
      <c r="AL44" s="1">
        <v>0.828516772754508</v>
      </c>
      <c r="AM44" s="1">
        <v>0.282285153777659</v>
      </c>
      <c r="AN44" s="1">
        <v>0.612313757918537</v>
      </c>
      <c r="AO44" s="1">
        <v>42</v>
      </c>
    </row>
    <row r="45" s="1" customFormat="1" spans="1:41">
      <c r="A45" s="1" t="s">
        <v>192</v>
      </c>
      <c r="B45" s="1" t="s">
        <v>193</v>
      </c>
      <c r="C45" s="1">
        <v>477.263923</v>
      </c>
      <c r="D45" s="1" t="s">
        <v>194</v>
      </c>
      <c r="E45" s="1" t="s">
        <v>195</v>
      </c>
      <c r="F45" s="1" t="s">
        <v>45</v>
      </c>
      <c r="G45" s="1" t="s">
        <v>46</v>
      </c>
      <c r="H45" s="1">
        <v>8</v>
      </c>
      <c r="I45" s="1">
        <v>64</v>
      </c>
      <c r="J45" s="1">
        <v>62</v>
      </c>
      <c r="K45" s="1">
        <v>96.875</v>
      </c>
      <c r="L45" s="1">
        <v>53</v>
      </c>
      <c r="M45" s="1">
        <v>82.8125</v>
      </c>
      <c r="N45" s="1">
        <v>53</v>
      </c>
      <c r="O45" s="1">
        <v>82.8125</v>
      </c>
      <c r="P45" s="1">
        <v>-5.00220754716981</v>
      </c>
      <c r="Q45" s="1">
        <f t="shared" si="1"/>
        <v>-265.117</v>
      </c>
      <c r="R45" s="1">
        <v>-4.896</v>
      </c>
      <c r="S45" s="1">
        <v>-7.627</v>
      </c>
      <c r="T45" s="1">
        <v>-3.986</v>
      </c>
      <c r="U45" s="1">
        <v>-3.15988679245283</v>
      </c>
      <c r="V45" s="1">
        <v>-3.197</v>
      </c>
      <c r="W45" s="1">
        <v>-3.5828679245283</v>
      </c>
      <c r="X45" s="1">
        <v>-3.602</v>
      </c>
      <c r="Y45" s="1">
        <v>0.435887116123443</v>
      </c>
      <c r="Z45" s="1">
        <v>0.451802984532649</v>
      </c>
      <c r="AA45" s="1">
        <v>0.646129032258064</v>
      </c>
      <c r="AB45" s="1">
        <v>0.62</v>
      </c>
      <c r="AC45" s="1">
        <v>0.264872023333493</v>
      </c>
      <c r="AD45" s="1">
        <v>0.282539594479783</v>
      </c>
      <c r="AE45" s="1">
        <v>0.788441612078491</v>
      </c>
      <c r="AF45" s="1">
        <v>0.806956525332143</v>
      </c>
      <c r="AG45" s="1">
        <v>0.801441893141089</v>
      </c>
      <c r="AH45" s="1">
        <v>0.80435831743673</v>
      </c>
      <c r="AI45" s="1">
        <v>0.817077536628699</v>
      </c>
      <c r="AJ45" s="1">
        <v>0.795192343694404</v>
      </c>
      <c r="AK45" s="1">
        <v>0.80869634052942</v>
      </c>
      <c r="AL45" s="1">
        <v>0.812053668307628</v>
      </c>
      <c r="AM45" s="1">
        <v>0.496553772727537</v>
      </c>
      <c r="AN45" s="1">
        <v>0.696363376847573</v>
      </c>
      <c r="AO45" s="1">
        <v>43</v>
      </c>
    </row>
    <row r="46" s="1" customFormat="1" spans="1:41">
      <c r="A46" s="1" t="s">
        <v>196</v>
      </c>
      <c r="B46" s="1" t="s">
        <v>197</v>
      </c>
      <c r="C46" s="1">
        <v>1991.974912</v>
      </c>
      <c r="D46" s="1" t="s">
        <v>198</v>
      </c>
      <c r="E46" s="1" t="s">
        <v>199</v>
      </c>
      <c r="F46" s="1" t="s">
        <v>45</v>
      </c>
      <c r="G46" s="1" t="s">
        <v>46</v>
      </c>
      <c r="H46" s="1">
        <v>8</v>
      </c>
      <c r="I46" s="1">
        <v>64</v>
      </c>
      <c r="J46" s="1">
        <v>63</v>
      </c>
      <c r="K46" s="1">
        <v>98.4375</v>
      </c>
      <c r="L46" s="1">
        <v>45</v>
      </c>
      <c r="M46" s="1">
        <v>70.3125</v>
      </c>
      <c r="N46" s="1">
        <v>45</v>
      </c>
      <c r="O46" s="1">
        <v>70.3125</v>
      </c>
      <c r="P46" s="1">
        <v>-9.53028888888889</v>
      </c>
      <c r="Q46" s="1">
        <f t="shared" si="1"/>
        <v>-428.863</v>
      </c>
      <c r="R46" s="1">
        <v>-9.49</v>
      </c>
      <c r="S46" s="1">
        <v>-12.265</v>
      </c>
      <c r="T46" s="1">
        <v>-7.062</v>
      </c>
      <c r="U46" s="1">
        <v>-7.95673333333333</v>
      </c>
      <c r="V46" s="1">
        <v>-8.332</v>
      </c>
      <c r="W46" s="1">
        <v>-8.27897777777778</v>
      </c>
      <c r="X46" s="1">
        <v>-8.462</v>
      </c>
      <c r="Y46" s="1">
        <v>0.124838529692045</v>
      </c>
      <c r="Z46" s="1">
        <v>0.110633609247257</v>
      </c>
      <c r="AA46" s="1">
        <v>0.526666666666667</v>
      </c>
      <c r="AB46" s="1">
        <v>0.51</v>
      </c>
      <c r="AC46" s="1">
        <v>0.203388478454648</v>
      </c>
      <c r="AD46" s="1">
        <v>0.20312178951237</v>
      </c>
      <c r="AE46" s="1">
        <v>0.76239463157931</v>
      </c>
      <c r="AF46" s="1">
        <v>0.81732293288378</v>
      </c>
      <c r="AG46" s="1">
        <v>0.81382075251296</v>
      </c>
      <c r="AH46" s="1">
        <v>0.78043114514809</v>
      </c>
      <c r="AI46" s="1">
        <v>0.81285705135359</v>
      </c>
      <c r="AJ46" s="1">
        <v>0.797112266658747</v>
      </c>
      <c r="AK46" s="1">
        <v>0.802600845444255</v>
      </c>
      <c r="AL46" s="1">
        <v>0.817148233889981</v>
      </c>
      <c r="AM46" s="1">
        <v>0.265637691249065</v>
      </c>
      <c r="AN46" s="1">
        <v>0.681323154171653</v>
      </c>
      <c r="AO46" s="1">
        <v>44</v>
      </c>
    </row>
    <row r="47" s="1" customFormat="1" spans="1:41">
      <c r="A47" s="1" t="s">
        <v>200</v>
      </c>
      <c r="B47" s="1" t="s">
        <v>201</v>
      </c>
      <c r="C47" s="1">
        <v>1118.001561</v>
      </c>
      <c r="D47" s="1" t="s">
        <v>202</v>
      </c>
      <c r="E47" s="1" t="s">
        <v>203</v>
      </c>
      <c r="F47" s="1" t="s">
        <v>45</v>
      </c>
      <c r="G47" s="1" t="s">
        <v>46</v>
      </c>
      <c r="H47" s="1">
        <v>8</v>
      </c>
      <c r="I47" s="1">
        <v>64</v>
      </c>
      <c r="J47" s="1">
        <v>63</v>
      </c>
      <c r="K47" s="1">
        <v>98.4375</v>
      </c>
      <c r="L47" s="1">
        <v>50</v>
      </c>
      <c r="M47" s="1">
        <v>78.125</v>
      </c>
      <c r="N47" s="1">
        <v>50</v>
      </c>
      <c r="O47" s="1">
        <v>78.125</v>
      </c>
      <c r="P47" s="1">
        <v>-7.30488</v>
      </c>
      <c r="Q47" s="1">
        <f t="shared" si="1"/>
        <v>-365.244</v>
      </c>
      <c r="R47" s="1">
        <v>-7.2815</v>
      </c>
      <c r="S47" s="1">
        <v>-11.242</v>
      </c>
      <c r="T47" s="1">
        <v>-4.73</v>
      </c>
      <c r="U47" s="1">
        <v>-4.59668</v>
      </c>
      <c r="V47" s="1">
        <v>-4.695</v>
      </c>
      <c r="W47" s="1">
        <v>-5.06422</v>
      </c>
      <c r="X47" s="1">
        <v>-4.9545</v>
      </c>
      <c r="Y47" s="1">
        <v>0.346912100139473</v>
      </c>
      <c r="Z47" s="1">
        <v>0.326404895680268</v>
      </c>
      <c r="AA47" s="1">
        <v>0.644285714285714</v>
      </c>
      <c r="AB47" s="1">
        <v>0.63</v>
      </c>
      <c r="AC47" s="1">
        <v>0.182915265149726</v>
      </c>
      <c r="AD47" s="1">
        <v>0.168047626516039</v>
      </c>
      <c r="AE47" s="1">
        <v>0.742303394063809</v>
      </c>
      <c r="AF47" s="1">
        <v>0.797033090920539</v>
      </c>
      <c r="AG47" s="1">
        <v>0.795047840574896</v>
      </c>
      <c r="AH47" s="1">
        <v>0.794871977331915</v>
      </c>
      <c r="AI47" s="1">
        <v>0.816181125728451</v>
      </c>
      <c r="AJ47" s="1">
        <v>0.831809047138581</v>
      </c>
      <c r="AK47" s="1">
        <v>0.803421926880883</v>
      </c>
      <c r="AL47" s="1">
        <v>0.809288894785637</v>
      </c>
      <c r="AM47" s="1">
        <v>0.323728080643099</v>
      </c>
      <c r="AN47" s="1">
        <v>0.618470603616776</v>
      </c>
      <c r="AO47" s="1">
        <v>45</v>
      </c>
    </row>
    <row r="48" s="1" customFormat="1" spans="1:41">
      <c r="A48" s="1" t="s">
        <v>84</v>
      </c>
      <c r="B48" s="1" t="s">
        <v>204</v>
      </c>
      <c r="C48" s="1">
        <v>466.884562</v>
      </c>
      <c r="D48" s="1" t="s">
        <v>205</v>
      </c>
      <c r="E48" s="1" t="s">
        <v>206</v>
      </c>
      <c r="F48" s="1" t="s">
        <v>45</v>
      </c>
      <c r="G48" s="1" t="s">
        <v>46</v>
      </c>
      <c r="H48" s="1">
        <v>8</v>
      </c>
      <c r="I48" s="1">
        <v>64</v>
      </c>
      <c r="J48" s="1">
        <v>63</v>
      </c>
      <c r="K48" s="1">
        <v>98.4375</v>
      </c>
      <c r="L48" s="1">
        <v>21</v>
      </c>
      <c r="M48" s="1">
        <v>32.8125</v>
      </c>
      <c r="N48" s="1">
        <v>21</v>
      </c>
      <c r="O48" s="1">
        <v>32.8125</v>
      </c>
      <c r="P48" s="1">
        <v>-7.40576190476191</v>
      </c>
      <c r="Q48" s="1">
        <f t="shared" si="1"/>
        <v>-155.521</v>
      </c>
      <c r="R48" s="1">
        <v>-7.499</v>
      </c>
      <c r="S48" s="1">
        <v>-9.036</v>
      </c>
      <c r="T48" s="1">
        <v>-5.009</v>
      </c>
      <c r="U48" s="1">
        <v>-5.75204761904762</v>
      </c>
      <c r="V48" s="1">
        <v>-5.808</v>
      </c>
      <c r="W48" s="1">
        <v>-6.26352380952381</v>
      </c>
      <c r="X48" s="1">
        <v>-6.475</v>
      </c>
      <c r="Y48" s="1">
        <v>0.24677788759007</v>
      </c>
      <c r="Z48" s="1">
        <v>0.231863802491217</v>
      </c>
      <c r="AA48" s="1">
        <v>0.647301587301587</v>
      </c>
      <c r="AB48" s="1">
        <v>0.62</v>
      </c>
      <c r="AC48" s="1">
        <v>0.225125758693618</v>
      </c>
      <c r="AD48" s="1">
        <v>0.227999844710202</v>
      </c>
      <c r="AE48" s="1">
        <v>0.774440320585057</v>
      </c>
      <c r="AF48" s="1">
        <v>0.821124392649202</v>
      </c>
      <c r="AG48" s="1" t="s">
        <v>50</v>
      </c>
      <c r="AH48" s="1">
        <v>0.788559470725425</v>
      </c>
      <c r="AI48" s="1">
        <v>0.816319435168986</v>
      </c>
      <c r="AJ48" s="1">
        <v>0.817652598437666</v>
      </c>
      <c r="AK48" s="1">
        <v>0.814480506356033</v>
      </c>
      <c r="AL48" s="1">
        <v>0.80757899075137</v>
      </c>
      <c r="AM48" s="1">
        <v>0.286311462568347</v>
      </c>
      <c r="AN48" s="1">
        <v>0.672648904349511</v>
      </c>
      <c r="AO48" s="1">
        <v>46</v>
      </c>
    </row>
    <row r="49" s="1" customFormat="1" spans="1:41">
      <c r="A49" s="1" t="s">
        <v>207</v>
      </c>
      <c r="B49" s="1" t="s">
        <v>208</v>
      </c>
      <c r="C49" s="1">
        <v>512.414157</v>
      </c>
      <c r="D49" s="1" t="s">
        <v>209</v>
      </c>
      <c r="E49" s="1" t="s">
        <v>210</v>
      </c>
      <c r="F49" s="1" t="s">
        <v>45</v>
      </c>
      <c r="G49" s="1" t="s">
        <v>46</v>
      </c>
      <c r="H49" s="1">
        <v>8</v>
      </c>
      <c r="I49" s="1">
        <v>64</v>
      </c>
      <c r="J49" s="1">
        <v>62</v>
      </c>
      <c r="K49" s="1">
        <v>96.875</v>
      </c>
      <c r="L49" s="1">
        <v>30</v>
      </c>
      <c r="M49" s="1">
        <v>46.875</v>
      </c>
      <c r="N49" s="1">
        <v>30</v>
      </c>
      <c r="O49" s="1">
        <v>46.875</v>
      </c>
      <c r="P49" s="1">
        <v>-6.76893333333333</v>
      </c>
      <c r="Q49" s="1">
        <f t="shared" si="1"/>
        <v>-203.068</v>
      </c>
      <c r="R49" s="1">
        <v>-6.7965</v>
      </c>
      <c r="S49" s="1">
        <v>-8.02</v>
      </c>
      <c r="T49" s="1">
        <v>-5.637</v>
      </c>
      <c r="U49" s="1">
        <v>-5.5839</v>
      </c>
      <c r="V49" s="1">
        <v>-5.4575</v>
      </c>
      <c r="W49" s="1">
        <v>-5.95293333333333</v>
      </c>
      <c r="X49" s="1">
        <v>-5.879</v>
      </c>
      <c r="Y49" s="1">
        <v>0.373803196899311</v>
      </c>
      <c r="Z49" s="1">
        <v>0.384740352092944</v>
      </c>
      <c r="AA49" s="1">
        <v>0.648548387096774</v>
      </c>
      <c r="AB49" s="1">
        <v>0.635</v>
      </c>
      <c r="AC49" s="1">
        <v>0.255048961526011</v>
      </c>
      <c r="AD49" s="1">
        <v>0.265922533618544</v>
      </c>
      <c r="AE49" s="1">
        <v>0.763910868032892</v>
      </c>
      <c r="AF49" s="1">
        <v>0.800631136955684</v>
      </c>
      <c r="AG49" s="1">
        <v>0.761214482933708</v>
      </c>
      <c r="AH49" s="1">
        <v>0.813732456879171</v>
      </c>
      <c r="AI49" s="1">
        <v>0.812399592328567</v>
      </c>
      <c r="AJ49" s="1" t="s">
        <v>50</v>
      </c>
      <c r="AK49" s="1">
        <v>0.819166502012498</v>
      </c>
      <c r="AL49" s="1">
        <v>0.809705520595708</v>
      </c>
      <c r="AM49" s="1">
        <v>0.377550724240468</v>
      </c>
      <c r="AN49" s="1">
        <v>0.654999082580418</v>
      </c>
      <c r="AO49" s="1">
        <v>47</v>
      </c>
    </row>
    <row r="50" s="1" customFormat="1" spans="1:41">
      <c r="A50" s="1" t="s">
        <v>211</v>
      </c>
      <c r="B50" s="1" t="s">
        <v>212</v>
      </c>
      <c r="C50" s="1">
        <v>739.794612</v>
      </c>
      <c r="D50" s="1" t="s">
        <v>213</v>
      </c>
      <c r="E50" s="1" t="s">
        <v>214</v>
      </c>
      <c r="F50" s="1" t="s">
        <v>45</v>
      </c>
      <c r="G50" s="1" t="s">
        <v>46</v>
      </c>
      <c r="H50" s="1">
        <v>8</v>
      </c>
      <c r="I50" s="1">
        <v>64</v>
      </c>
      <c r="J50" s="1">
        <v>61</v>
      </c>
      <c r="K50" s="1">
        <v>95.3125</v>
      </c>
      <c r="L50" s="1">
        <v>21</v>
      </c>
      <c r="M50" s="1">
        <v>32.8125</v>
      </c>
      <c r="N50" s="1">
        <v>21</v>
      </c>
      <c r="O50" s="1">
        <v>32.8125</v>
      </c>
      <c r="P50" s="1">
        <v>-6.93509523809524</v>
      </c>
      <c r="Q50" s="1">
        <f t="shared" si="1"/>
        <v>-145.637</v>
      </c>
      <c r="R50" s="1">
        <v>-6.921</v>
      </c>
      <c r="S50" s="1">
        <v>-9.013</v>
      </c>
      <c r="T50" s="1">
        <v>-5.356</v>
      </c>
      <c r="U50" s="1">
        <v>-5.0077619047619</v>
      </c>
      <c r="V50" s="1">
        <v>-4.817</v>
      </c>
      <c r="W50" s="1">
        <v>-5.17919047619048</v>
      </c>
      <c r="X50" s="1">
        <v>-5.156</v>
      </c>
      <c r="Y50" s="1">
        <v>0.208294167055547</v>
      </c>
      <c r="Z50" s="1">
        <v>0.199572361018588</v>
      </c>
      <c r="AA50" s="1">
        <v>0.586065573770492</v>
      </c>
      <c r="AB50" s="1">
        <v>0.58</v>
      </c>
      <c r="AC50" s="1">
        <v>0.234650956389765</v>
      </c>
      <c r="AD50" s="1">
        <v>0.211771938008683</v>
      </c>
      <c r="AE50" s="1">
        <v>0.732623508536148</v>
      </c>
      <c r="AF50" s="1">
        <v>0.797640257975587</v>
      </c>
      <c r="AG50" s="1">
        <v>0.764984092139793</v>
      </c>
      <c r="AH50" s="1">
        <v>0.796503370461678</v>
      </c>
      <c r="AI50" s="1">
        <v>0.802080116722114</v>
      </c>
      <c r="AJ50" s="1" t="s">
        <v>50</v>
      </c>
      <c r="AK50" s="1">
        <v>0.805027992003773</v>
      </c>
      <c r="AL50" s="1">
        <v>0.819427373507683</v>
      </c>
      <c r="AM50" s="1">
        <v>0.282444192229318</v>
      </c>
      <c r="AN50" s="1">
        <v>0.601190370301554</v>
      </c>
      <c r="AO50" s="1">
        <v>48</v>
      </c>
    </row>
    <row r="51" s="1" customFormat="1" spans="1:41">
      <c r="A51" s="1" t="s">
        <v>215</v>
      </c>
      <c r="B51" s="1" t="s">
        <v>216</v>
      </c>
      <c r="C51" s="1">
        <v>699.503601</v>
      </c>
      <c r="D51" s="1" t="s">
        <v>217</v>
      </c>
      <c r="E51" s="1" t="s">
        <v>218</v>
      </c>
      <c r="F51" s="1" t="s">
        <v>45</v>
      </c>
      <c r="G51" s="1" t="s">
        <v>46</v>
      </c>
      <c r="H51" s="1">
        <v>8</v>
      </c>
      <c r="I51" s="1">
        <v>64</v>
      </c>
      <c r="J51" s="1">
        <v>59</v>
      </c>
      <c r="K51" s="1">
        <v>92.1875</v>
      </c>
      <c r="L51" s="1">
        <v>24</v>
      </c>
      <c r="M51" s="1">
        <v>37.5</v>
      </c>
      <c r="N51" s="1">
        <v>24</v>
      </c>
      <c r="O51" s="1">
        <v>37.5</v>
      </c>
      <c r="P51" s="1">
        <v>-11.5104166666667</v>
      </c>
      <c r="Q51" s="1">
        <f t="shared" si="1"/>
        <v>-276.250000000001</v>
      </c>
      <c r="R51" s="1">
        <v>-10.699</v>
      </c>
      <c r="S51" s="1">
        <v>-17.175</v>
      </c>
      <c r="T51" s="1">
        <v>-8.535</v>
      </c>
      <c r="U51" s="1">
        <v>-8.55341666666667</v>
      </c>
      <c r="V51" s="1">
        <v>-10.472</v>
      </c>
      <c r="W51" s="1">
        <v>-10.7550833333333</v>
      </c>
      <c r="X51" s="1">
        <v>-10.5485</v>
      </c>
      <c r="Y51" s="1">
        <v>0.256136105870414</v>
      </c>
      <c r="Z51" s="1">
        <v>0.23132744596702</v>
      </c>
      <c r="AA51" s="1">
        <v>0.586949152542373</v>
      </c>
      <c r="AB51" s="1">
        <v>0.57</v>
      </c>
      <c r="AC51" s="1">
        <v>0.274458363320478</v>
      </c>
      <c r="AD51" s="1">
        <v>0.291576649185109</v>
      </c>
      <c r="AE51" s="1">
        <v>0.731527052804956</v>
      </c>
      <c r="AF51" s="1">
        <v>0.798276859492644</v>
      </c>
      <c r="AG51" s="1">
        <v>0.832411829313303</v>
      </c>
      <c r="AH51" s="1">
        <v>0.781240030213809</v>
      </c>
      <c r="AI51" s="1">
        <v>0.816112841261487</v>
      </c>
      <c r="AJ51" s="1">
        <v>0.786068241433725</v>
      </c>
      <c r="AK51" s="1">
        <v>0.812156740306193</v>
      </c>
      <c r="AL51" s="1">
        <v>0.82448890193877</v>
      </c>
      <c r="AM51" s="1">
        <v>0.258206277179106</v>
      </c>
      <c r="AN51" s="1">
        <v>0.592958568403738</v>
      </c>
      <c r="AO51" s="1">
        <v>49</v>
      </c>
    </row>
    <row r="52" s="1" customFormat="1" spans="1:41">
      <c r="A52" s="1" t="s">
        <v>219</v>
      </c>
      <c r="B52" s="1" t="s">
        <v>220</v>
      </c>
      <c r="C52" s="1">
        <v>567.447302</v>
      </c>
      <c r="D52" s="1" t="s">
        <v>221</v>
      </c>
      <c r="E52" s="1" t="s">
        <v>222</v>
      </c>
      <c r="F52" s="1" t="s">
        <v>45</v>
      </c>
      <c r="G52" s="1" t="s">
        <v>46</v>
      </c>
      <c r="H52" s="1">
        <v>8</v>
      </c>
      <c r="I52" s="1">
        <v>64</v>
      </c>
      <c r="J52" s="1">
        <v>61</v>
      </c>
      <c r="K52" s="1">
        <v>95.3125</v>
      </c>
      <c r="L52" s="1">
        <v>55</v>
      </c>
      <c r="M52" s="1">
        <v>85.9375</v>
      </c>
      <c r="N52" s="1">
        <v>55</v>
      </c>
      <c r="O52" s="1">
        <v>85.9375</v>
      </c>
      <c r="P52" s="1">
        <v>-4.5308</v>
      </c>
      <c r="Q52" s="1">
        <f t="shared" si="1"/>
        <v>-249.194</v>
      </c>
      <c r="R52" s="1">
        <v>-4.223</v>
      </c>
      <c r="S52" s="1">
        <v>-7.838</v>
      </c>
      <c r="T52" s="1">
        <v>-3.577</v>
      </c>
      <c r="U52" s="1">
        <v>-2.71652727272727</v>
      </c>
      <c r="V52" s="1">
        <v>-2.742</v>
      </c>
      <c r="W52" s="1">
        <v>-3.15972727272727</v>
      </c>
      <c r="X52" s="1">
        <v>-3.239</v>
      </c>
      <c r="Y52" s="1">
        <v>0.438050604658276</v>
      </c>
      <c r="Z52" s="1">
        <v>0.456968615783826</v>
      </c>
      <c r="AA52" s="1">
        <v>0.722295081967213</v>
      </c>
      <c r="AB52" s="1">
        <v>0.74</v>
      </c>
      <c r="AC52" s="1">
        <v>0.1800499456051</v>
      </c>
      <c r="AD52" s="1">
        <v>0.157161549515756</v>
      </c>
      <c r="AE52" s="1">
        <v>0.776385247556681</v>
      </c>
      <c r="AF52" s="1">
        <v>0.817880278246841</v>
      </c>
      <c r="AG52" s="1" t="s">
        <v>50</v>
      </c>
      <c r="AH52" s="1">
        <v>0.806474828985907</v>
      </c>
      <c r="AI52" s="1">
        <v>0.824597946479877</v>
      </c>
      <c r="AJ52" s="1" t="s">
        <v>50</v>
      </c>
      <c r="AK52" s="1">
        <v>0.813123492086968</v>
      </c>
      <c r="AL52" s="1">
        <v>0.800974770025328</v>
      </c>
      <c r="AM52" s="1">
        <v>0.475816468982956</v>
      </c>
      <c r="AN52" s="1">
        <v>0.695883489993118</v>
      </c>
      <c r="AO52" s="1">
        <v>50</v>
      </c>
    </row>
    <row r="53" s="1" customFormat="1" spans="1:41">
      <c r="A53" s="1" t="s">
        <v>223</v>
      </c>
      <c r="B53" s="1" t="s">
        <v>224</v>
      </c>
      <c r="C53" s="1">
        <v>1167.618571</v>
      </c>
      <c r="D53" s="1" t="s">
        <v>225</v>
      </c>
      <c r="E53" s="1" t="s">
        <v>226</v>
      </c>
      <c r="F53" s="1" t="s">
        <v>45</v>
      </c>
      <c r="G53" s="1" t="s">
        <v>46</v>
      </c>
      <c r="H53" s="1">
        <v>8</v>
      </c>
      <c r="I53" s="1">
        <v>64</v>
      </c>
      <c r="J53" s="1">
        <v>60</v>
      </c>
      <c r="K53" s="1">
        <v>93.75</v>
      </c>
      <c r="L53" s="1">
        <v>27</v>
      </c>
      <c r="M53" s="1">
        <v>42.1875</v>
      </c>
      <c r="N53" s="1">
        <v>27</v>
      </c>
      <c r="O53" s="1">
        <v>42.1875</v>
      </c>
      <c r="P53" s="1">
        <v>-8.35929629629629</v>
      </c>
      <c r="Q53" s="1">
        <f t="shared" si="1"/>
        <v>-225.701</v>
      </c>
      <c r="R53" s="1">
        <v>-8.365</v>
      </c>
      <c r="S53" s="1">
        <v>-9.504</v>
      </c>
      <c r="T53" s="1">
        <v>-6.944</v>
      </c>
      <c r="U53" s="1">
        <v>-6.30625925925926</v>
      </c>
      <c r="V53" s="1">
        <v>-6.32</v>
      </c>
      <c r="W53" s="1">
        <v>-6.60659259259259</v>
      </c>
      <c r="X53" s="1">
        <v>-6.595</v>
      </c>
      <c r="Y53" s="1">
        <v>0.195724109631585</v>
      </c>
      <c r="Z53" s="1">
        <v>0.151705497985692</v>
      </c>
      <c r="AA53" s="1">
        <v>0.581333333333333</v>
      </c>
      <c r="AB53" s="1">
        <v>0.57</v>
      </c>
      <c r="AC53" s="1">
        <v>0.153566932112514</v>
      </c>
      <c r="AD53" s="1">
        <v>0.147792024064328</v>
      </c>
      <c r="AE53" s="1">
        <v>0.743311711119483</v>
      </c>
      <c r="AF53" s="1">
        <v>0.802817836291548</v>
      </c>
      <c r="AG53" s="1">
        <v>0.825314643580107</v>
      </c>
      <c r="AH53" s="1">
        <v>0.782595443462346</v>
      </c>
      <c r="AI53" s="1">
        <v>0.811279087077858</v>
      </c>
      <c r="AJ53" s="1">
        <v>0.78619828356924</v>
      </c>
      <c r="AK53" s="1">
        <v>0.794653731586259</v>
      </c>
      <c r="AL53" s="1">
        <v>0.813528822423451</v>
      </c>
      <c r="AM53" s="1">
        <v>0.282898322110382</v>
      </c>
      <c r="AN53" s="1">
        <v>0.637688654800281</v>
      </c>
      <c r="AO53" s="1">
        <v>51</v>
      </c>
    </row>
    <row r="54" s="1" customFormat="1" spans="1:41">
      <c r="A54" s="1" t="s">
        <v>227</v>
      </c>
      <c r="B54" s="1" t="s">
        <v>228</v>
      </c>
      <c r="C54" s="1">
        <v>1608.310708</v>
      </c>
      <c r="D54" s="1" t="s">
        <v>229</v>
      </c>
      <c r="E54" s="1" t="s">
        <v>230</v>
      </c>
      <c r="F54" s="1" t="s">
        <v>45</v>
      </c>
      <c r="G54" s="1" t="s">
        <v>46</v>
      </c>
      <c r="H54" s="1">
        <v>8</v>
      </c>
      <c r="I54" s="1">
        <v>64</v>
      </c>
      <c r="J54" s="1">
        <v>64</v>
      </c>
      <c r="K54" s="1">
        <v>100</v>
      </c>
      <c r="L54" s="1">
        <v>33</v>
      </c>
      <c r="M54" s="1">
        <v>51.5625</v>
      </c>
      <c r="N54" s="1">
        <v>33</v>
      </c>
      <c r="O54" s="1">
        <v>51.5625</v>
      </c>
      <c r="P54" s="1">
        <v>-8.71839393939394</v>
      </c>
      <c r="Q54" s="1">
        <f t="shared" si="1"/>
        <v>-287.707</v>
      </c>
      <c r="R54" s="1">
        <v>-8.709</v>
      </c>
      <c r="S54" s="1">
        <v>-12.284</v>
      </c>
      <c r="T54" s="1">
        <v>-6.475</v>
      </c>
      <c r="U54" s="1">
        <v>-6.58369696969697</v>
      </c>
      <c r="V54" s="1">
        <v>-6.482</v>
      </c>
      <c r="W54" s="1">
        <v>-7.06154545454546</v>
      </c>
      <c r="X54" s="1">
        <v>-6.977</v>
      </c>
      <c r="Y54" s="1">
        <v>0.173924915753135</v>
      </c>
      <c r="Z54" s="1">
        <v>0.139774838512071</v>
      </c>
      <c r="AA54" s="1">
        <v>0.57515625</v>
      </c>
      <c r="AB54" s="1">
        <v>0.58</v>
      </c>
      <c r="AC54" s="1">
        <v>0.161558057881233</v>
      </c>
      <c r="AD54" s="1">
        <v>0.167344763962206</v>
      </c>
      <c r="AE54" s="1">
        <v>0.730904162758271</v>
      </c>
      <c r="AF54" s="1">
        <v>0.806641543971542</v>
      </c>
      <c r="AG54" s="1">
        <v>0.790708464999428</v>
      </c>
      <c r="AH54" s="1">
        <v>0.793443788658213</v>
      </c>
      <c r="AI54" s="1">
        <v>0.803534840407742</v>
      </c>
      <c r="AJ54" s="1">
        <v>0.795396216321729</v>
      </c>
      <c r="AK54" s="1">
        <v>0.797526446902628</v>
      </c>
      <c r="AL54" s="1">
        <v>0.794047728542469</v>
      </c>
      <c r="AM54" s="1">
        <v>0.248107804224887</v>
      </c>
      <c r="AN54" s="1">
        <v>0.607012132669287</v>
      </c>
      <c r="AO54" s="1">
        <v>52</v>
      </c>
    </row>
    <row r="55" s="1" customFormat="1" spans="1:41">
      <c r="A55" s="1" t="s">
        <v>189</v>
      </c>
      <c r="B55" s="1" t="s">
        <v>231</v>
      </c>
      <c r="C55" s="1">
        <v>1492.827515</v>
      </c>
      <c r="D55" s="1" t="s">
        <v>232</v>
      </c>
      <c r="E55" s="1" t="s">
        <v>233</v>
      </c>
      <c r="F55" s="1" t="s">
        <v>45</v>
      </c>
      <c r="G55" s="1" t="s">
        <v>46</v>
      </c>
      <c r="H55" s="1">
        <v>8</v>
      </c>
      <c r="I55" s="1">
        <v>64</v>
      </c>
      <c r="J55" s="1">
        <v>63</v>
      </c>
      <c r="K55" s="1">
        <v>98.4375</v>
      </c>
      <c r="L55" s="1">
        <v>21</v>
      </c>
      <c r="M55" s="1">
        <v>32.8125</v>
      </c>
      <c r="N55" s="1">
        <v>21</v>
      </c>
      <c r="O55" s="1">
        <v>32.8125</v>
      </c>
      <c r="P55" s="1">
        <v>-9.28333333333333</v>
      </c>
      <c r="Q55" s="1">
        <f t="shared" si="1"/>
        <v>-194.95</v>
      </c>
      <c r="R55" s="1">
        <v>-9.239</v>
      </c>
      <c r="S55" s="1">
        <v>-11.2</v>
      </c>
      <c r="T55" s="1">
        <v>-7.318</v>
      </c>
      <c r="U55" s="1">
        <v>3.23433333333333</v>
      </c>
      <c r="V55" s="1">
        <v>-3.597</v>
      </c>
      <c r="W55" s="1">
        <v>-2.50733333333333</v>
      </c>
      <c r="X55" s="1">
        <v>-6.118</v>
      </c>
      <c r="Y55" s="1">
        <v>0.101490964231978</v>
      </c>
      <c r="Z55" s="1">
        <v>0.068726545678625</v>
      </c>
      <c r="AA55" s="1">
        <v>0.52968253968254</v>
      </c>
      <c r="AB55" s="1">
        <v>0.51</v>
      </c>
      <c r="AC55" s="1">
        <v>0.20449929243381</v>
      </c>
      <c r="AD55" s="1">
        <v>0.182096436896979</v>
      </c>
      <c r="AE55" s="1">
        <v>0.713252442923346</v>
      </c>
      <c r="AF55" s="1">
        <v>0.790410858978925</v>
      </c>
      <c r="AG55" s="1" t="s">
        <v>50</v>
      </c>
      <c r="AH55" s="1">
        <v>0.793670916242806</v>
      </c>
      <c r="AI55" s="1">
        <v>0.823222466424321</v>
      </c>
      <c r="AJ55" s="1" t="s">
        <v>50</v>
      </c>
      <c r="AK55" s="1">
        <v>0.804352189062769</v>
      </c>
      <c r="AL55" s="1">
        <v>0.816332054416447</v>
      </c>
      <c r="AM55" s="1">
        <v>0.279543815186045</v>
      </c>
      <c r="AN55" s="1">
        <v>0.578000646604517</v>
      </c>
      <c r="AO55" s="1">
        <v>53</v>
      </c>
    </row>
    <row r="56" s="1" customFormat="1" spans="1:41">
      <c r="A56" s="1" t="s">
        <v>234</v>
      </c>
      <c r="B56" s="1" t="s">
        <v>235</v>
      </c>
      <c r="C56" s="1">
        <v>1536.76622</v>
      </c>
      <c r="D56" s="1" t="s">
        <v>236</v>
      </c>
      <c r="E56" s="1" t="s">
        <v>237</v>
      </c>
      <c r="F56" s="1" t="s">
        <v>45</v>
      </c>
      <c r="G56" s="1" t="s">
        <v>46</v>
      </c>
      <c r="H56" s="1">
        <v>8</v>
      </c>
      <c r="I56" s="1">
        <v>64</v>
      </c>
      <c r="J56" s="1">
        <v>64</v>
      </c>
      <c r="K56" s="1">
        <v>100</v>
      </c>
      <c r="L56" s="1">
        <v>23</v>
      </c>
      <c r="M56" s="1">
        <v>35.9375</v>
      </c>
      <c r="N56" s="1">
        <v>23</v>
      </c>
      <c r="O56" s="1">
        <v>35.9375</v>
      </c>
      <c r="P56" s="1">
        <v>-9.215</v>
      </c>
      <c r="Q56" s="1">
        <f t="shared" si="1"/>
        <v>-211.945</v>
      </c>
      <c r="R56" s="1">
        <v>-9.531</v>
      </c>
      <c r="S56" s="1">
        <v>-10.896</v>
      </c>
      <c r="T56" s="1">
        <v>-6.625</v>
      </c>
      <c r="U56" s="1">
        <v>-5.17008695652174</v>
      </c>
      <c r="V56" s="1">
        <v>-6.138</v>
      </c>
      <c r="W56" s="1">
        <v>-6.48326086956522</v>
      </c>
      <c r="X56" s="1">
        <v>-6.589</v>
      </c>
      <c r="Y56" s="1">
        <v>0.186540412274285</v>
      </c>
      <c r="Z56" s="1">
        <v>0.173791824985962</v>
      </c>
      <c r="AA56" s="1">
        <v>0.5971875</v>
      </c>
      <c r="AB56" s="1">
        <v>0.615</v>
      </c>
      <c r="AC56" s="1">
        <v>0.211723663465088</v>
      </c>
      <c r="AD56" s="1">
        <v>0.205656099666857</v>
      </c>
      <c r="AE56" s="1">
        <v>0.722864467143513</v>
      </c>
      <c r="AF56" s="1">
        <v>0.788307129896135</v>
      </c>
      <c r="AG56" s="1">
        <v>0.766136450279386</v>
      </c>
      <c r="AH56" s="1">
        <v>0.790069534610224</v>
      </c>
      <c r="AI56" s="1">
        <v>0.808691331512187</v>
      </c>
      <c r="AJ56" s="1" t="s">
        <v>50</v>
      </c>
      <c r="AK56" s="1">
        <v>0.810778516135994</v>
      </c>
      <c r="AL56" s="1">
        <v>0.815750897202344</v>
      </c>
      <c r="AM56" s="1">
        <v>0.270351719800668</v>
      </c>
      <c r="AN56" s="1">
        <v>0.58945348341781</v>
      </c>
      <c r="AO56" s="1">
        <v>54</v>
      </c>
    </row>
    <row r="57" s="1" customFormat="1" spans="1:41">
      <c r="A57" s="1" t="s">
        <v>238</v>
      </c>
      <c r="B57" s="1" t="s">
        <v>239</v>
      </c>
      <c r="C57" s="1">
        <v>594.003962</v>
      </c>
      <c r="D57" s="1" t="s">
        <v>240</v>
      </c>
      <c r="E57" s="1" t="s">
        <v>241</v>
      </c>
      <c r="F57" s="1" t="s">
        <v>45</v>
      </c>
      <c r="G57" s="1" t="s">
        <v>46</v>
      </c>
      <c r="H57" s="1">
        <v>8</v>
      </c>
      <c r="I57" s="1">
        <v>64</v>
      </c>
      <c r="J57" s="1">
        <v>64</v>
      </c>
      <c r="K57" s="1">
        <v>100</v>
      </c>
      <c r="L57" s="1">
        <v>49</v>
      </c>
      <c r="M57" s="1">
        <v>76.5625</v>
      </c>
      <c r="N57" s="1">
        <v>49</v>
      </c>
      <c r="O57" s="1">
        <v>76.5625</v>
      </c>
      <c r="P57" s="1">
        <v>-5.81008163265306</v>
      </c>
      <c r="Q57" s="1">
        <f t="shared" si="1"/>
        <v>-284.694</v>
      </c>
      <c r="R57" s="1">
        <v>-5.27</v>
      </c>
      <c r="S57" s="1">
        <v>-10.959</v>
      </c>
      <c r="T57" s="1">
        <v>-4.144</v>
      </c>
      <c r="U57" s="1">
        <v>-2.82212244897959</v>
      </c>
      <c r="V57" s="1">
        <v>-3.008</v>
      </c>
      <c r="W57" s="1">
        <v>-3.9885306122449</v>
      </c>
      <c r="X57" s="1">
        <v>-3.679</v>
      </c>
      <c r="Y57" s="1">
        <v>0.410167988874864</v>
      </c>
      <c r="Z57" s="1">
        <v>0.421297327225374</v>
      </c>
      <c r="AA57" s="1">
        <v>0.68953125</v>
      </c>
      <c r="AB57" s="1">
        <v>0.7</v>
      </c>
      <c r="AC57" s="1">
        <v>0.222778337826502</v>
      </c>
      <c r="AD57" s="1">
        <v>0.24190614713048</v>
      </c>
      <c r="AE57" s="1">
        <v>0.787679443975027</v>
      </c>
      <c r="AF57" s="1">
        <v>0.810008867977822</v>
      </c>
      <c r="AG57" s="1" t="s">
        <v>50</v>
      </c>
      <c r="AH57" s="1">
        <v>0.813427225072925</v>
      </c>
      <c r="AI57" s="1">
        <v>0.817566080825999</v>
      </c>
      <c r="AJ57" s="1" t="s">
        <v>50</v>
      </c>
      <c r="AK57" s="1">
        <v>0.815030938212602</v>
      </c>
      <c r="AL57" s="1">
        <v>0.813139908154582</v>
      </c>
      <c r="AM57" s="1">
        <v>0.547737027250507</v>
      </c>
      <c r="AN57" s="1">
        <v>0.703285544030431</v>
      </c>
      <c r="AO57" s="1">
        <v>55</v>
      </c>
    </row>
    <row r="58" s="1" customFormat="1" spans="1:41">
      <c r="A58" s="1" t="s">
        <v>242</v>
      </c>
      <c r="B58" s="1" t="s">
        <v>243</v>
      </c>
      <c r="C58" s="1">
        <v>529.02117</v>
      </c>
      <c r="D58" s="1" t="s">
        <v>244</v>
      </c>
      <c r="E58" s="1" t="s">
        <v>245</v>
      </c>
      <c r="F58" s="1" t="s">
        <v>45</v>
      </c>
      <c r="G58" s="1" t="s">
        <v>46</v>
      </c>
      <c r="H58" s="1">
        <v>8</v>
      </c>
      <c r="I58" s="1">
        <v>64</v>
      </c>
      <c r="J58" s="1">
        <v>64</v>
      </c>
      <c r="K58" s="1">
        <v>100</v>
      </c>
      <c r="L58" s="1">
        <v>48</v>
      </c>
      <c r="M58" s="1">
        <v>75</v>
      </c>
      <c r="N58" s="1">
        <v>48</v>
      </c>
      <c r="O58" s="1">
        <v>75</v>
      </c>
      <c r="P58" s="1">
        <v>-5.710375</v>
      </c>
      <c r="Q58" s="1">
        <f t="shared" si="1"/>
        <v>-274.098</v>
      </c>
      <c r="R58" s="1">
        <v>-5.2055</v>
      </c>
      <c r="S58" s="1">
        <v>-12.252</v>
      </c>
      <c r="T58" s="1">
        <v>-4.022</v>
      </c>
      <c r="U58" s="1">
        <v>-2.51302083333333</v>
      </c>
      <c r="V58" s="1">
        <v>-3.223</v>
      </c>
      <c r="W58" s="1">
        <v>-3.79397916666667</v>
      </c>
      <c r="X58" s="1">
        <v>-3.5795</v>
      </c>
      <c r="Y58" s="1">
        <v>0.36315925061834</v>
      </c>
      <c r="Z58" s="1">
        <v>0.366397311655776</v>
      </c>
      <c r="AA58" s="1">
        <v>0.69296875</v>
      </c>
      <c r="AB58" s="1">
        <v>0.715</v>
      </c>
      <c r="AC58" s="1">
        <v>0.19773505547052</v>
      </c>
      <c r="AD58" s="1">
        <v>0.176580722537152</v>
      </c>
      <c r="AE58" s="1">
        <v>0.78082292028761</v>
      </c>
      <c r="AF58" s="1">
        <v>0.810418355711933</v>
      </c>
      <c r="AG58" s="1">
        <v>0.817854881780359</v>
      </c>
      <c r="AH58" s="1">
        <v>0.809856821601545</v>
      </c>
      <c r="AI58" s="1">
        <v>0.809841310375776</v>
      </c>
      <c r="AJ58" s="1">
        <v>0.813539484862041</v>
      </c>
      <c r="AK58" s="1">
        <v>0.813068318285564</v>
      </c>
      <c r="AL58" s="1">
        <v>0.816753870195971</v>
      </c>
      <c r="AM58" s="1">
        <v>0.48453196075614</v>
      </c>
      <c r="AN58" s="1">
        <v>0.684563861504549</v>
      </c>
      <c r="AO58" s="1">
        <v>56</v>
      </c>
    </row>
    <row r="59" s="1" customFormat="1" spans="1:41">
      <c r="A59" s="1" t="s">
        <v>246</v>
      </c>
      <c r="B59" s="1" t="s">
        <v>247</v>
      </c>
      <c r="C59" s="1">
        <v>1157.35492</v>
      </c>
      <c r="D59" s="1" t="s">
        <v>248</v>
      </c>
      <c r="E59" s="1" t="s">
        <v>249</v>
      </c>
      <c r="F59" s="1" t="s">
        <v>45</v>
      </c>
      <c r="G59" s="1" t="s">
        <v>46</v>
      </c>
      <c r="H59" s="1">
        <v>8</v>
      </c>
      <c r="I59" s="1">
        <v>64</v>
      </c>
      <c r="J59" s="1">
        <v>63</v>
      </c>
      <c r="K59" s="1">
        <v>98.4375</v>
      </c>
      <c r="L59" s="1">
        <v>25</v>
      </c>
      <c r="M59" s="1">
        <v>39.0625</v>
      </c>
      <c r="N59" s="1">
        <v>25</v>
      </c>
      <c r="O59" s="1">
        <v>39.0625</v>
      </c>
      <c r="P59" s="1">
        <v>-8.0548</v>
      </c>
      <c r="Q59" s="1">
        <f t="shared" si="1"/>
        <v>-201.37</v>
      </c>
      <c r="R59" s="1">
        <v>-7.786</v>
      </c>
      <c r="S59" s="1">
        <v>-12.05</v>
      </c>
      <c r="T59" s="1">
        <v>-5.099</v>
      </c>
      <c r="U59" s="1">
        <v>-5.25684</v>
      </c>
      <c r="V59" s="1">
        <v>-4.962</v>
      </c>
      <c r="W59" s="1">
        <v>-5.46416</v>
      </c>
      <c r="X59" s="1">
        <v>-5.238</v>
      </c>
      <c r="Y59" s="1">
        <v>0.277966749116276</v>
      </c>
      <c r="Z59" s="1">
        <v>0.242523679805807</v>
      </c>
      <c r="AA59" s="1">
        <v>0.632539682539683</v>
      </c>
      <c r="AB59" s="1">
        <v>0.62</v>
      </c>
      <c r="AC59" s="1">
        <v>0.180252553050897</v>
      </c>
      <c r="AD59" s="1">
        <v>0.170790740595027</v>
      </c>
      <c r="AE59" s="1">
        <v>0.734864530039373</v>
      </c>
      <c r="AF59" s="1">
        <v>0.804569606508575</v>
      </c>
      <c r="AG59" s="1">
        <v>0.801025776179707</v>
      </c>
      <c r="AH59" s="1">
        <v>0.797935161745691</v>
      </c>
      <c r="AI59" s="1">
        <v>0.812107223748566</v>
      </c>
      <c r="AJ59" s="1">
        <v>0.832284672096687</v>
      </c>
      <c r="AK59" s="1">
        <v>0.805384121515161</v>
      </c>
      <c r="AL59" s="1">
        <v>0.822247968546716</v>
      </c>
      <c r="AM59" s="1">
        <v>0.291591971910835</v>
      </c>
      <c r="AN59" s="1">
        <v>0.622952586214985</v>
      </c>
      <c r="AO59" s="1">
        <v>57</v>
      </c>
    </row>
    <row r="60" s="1" customFormat="1" spans="1:41">
      <c r="A60" s="1" t="s">
        <v>250</v>
      </c>
      <c r="B60" s="1" t="s">
        <v>251</v>
      </c>
      <c r="C60" s="1">
        <v>687.458766</v>
      </c>
      <c r="D60" s="1" t="s">
        <v>252</v>
      </c>
      <c r="E60" s="1" t="s">
        <v>253</v>
      </c>
      <c r="F60" s="1" t="s">
        <v>45</v>
      </c>
      <c r="G60" s="1" t="s">
        <v>46</v>
      </c>
      <c r="H60" s="1">
        <v>8</v>
      </c>
      <c r="I60" s="1">
        <v>64</v>
      </c>
      <c r="J60" s="1">
        <v>61</v>
      </c>
      <c r="K60" s="1">
        <v>95.3125</v>
      </c>
      <c r="L60" s="1">
        <v>34</v>
      </c>
      <c r="M60" s="1">
        <v>53.125</v>
      </c>
      <c r="N60" s="1">
        <v>34</v>
      </c>
      <c r="O60" s="1">
        <v>53.125</v>
      </c>
      <c r="P60" s="1">
        <v>-6.16558823529412</v>
      </c>
      <c r="Q60" s="1">
        <f t="shared" si="1"/>
        <v>-209.63</v>
      </c>
      <c r="R60" s="1">
        <v>-5.961</v>
      </c>
      <c r="S60" s="1">
        <v>-8.169</v>
      </c>
      <c r="T60" s="1">
        <v>-4.119</v>
      </c>
      <c r="U60" s="1">
        <v>31.5822647058823</v>
      </c>
      <c r="V60" s="1">
        <v>36.0115</v>
      </c>
      <c r="W60" s="1">
        <v>4.359</v>
      </c>
      <c r="X60" s="1">
        <v>2.7685</v>
      </c>
      <c r="Y60" s="1">
        <v>0.34077970788786</v>
      </c>
      <c r="Z60" s="1">
        <v>0.322760452062974</v>
      </c>
      <c r="AA60" s="1">
        <v>0.579180327868853</v>
      </c>
      <c r="AB60" s="1">
        <v>0.58</v>
      </c>
      <c r="AC60" s="1">
        <v>0.224605867817084</v>
      </c>
      <c r="AD60" s="1">
        <v>0.211958072552244</v>
      </c>
      <c r="AE60" s="1">
        <v>0.766869022152298</v>
      </c>
      <c r="AF60" s="1">
        <v>0.798324733200244</v>
      </c>
      <c r="AG60" s="1">
        <v>0.82713285072799</v>
      </c>
      <c r="AH60" s="1">
        <v>0.793536579577026</v>
      </c>
      <c r="AI60" s="1">
        <v>0.817659240827127</v>
      </c>
      <c r="AJ60" s="1" t="s">
        <v>50</v>
      </c>
      <c r="AK60" s="1">
        <v>0.80306480409855</v>
      </c>
      <c r="AL60" s="1">
        <v>0.813180320941673</v>
      </c>
      <c r="AM60" s="1">
        <v>0.316653598766476</v>
      </c>
      <c r="AN60" s="1">
        <v>0.666231536712315</v>
      </c>
      <c r="AO60" s="1">
        <v>58</v>
      </c>
    </row>
    <row r="61" s="1" customFormat="1" spans="1:41">
      <c r="A61" s="1" t="s">
        <v>254</v>
      </c>
      <c r="B61" s="1" t="s">
        <v>255</v>
      </c>
      <c r="C61" s="1">
        <v>932.876344</v>
      </c>
      <c r="D61" s="1" t="s">
        <v>256</v>
      </c>
      <c r="E61" s="1" t="s">
        <v>257</v>
      </c>
      <c r="F61" s="1" t="s">
        <v>45</v>
      </c>
      <c r="G61" s="1" t="s">
        <v>46</v>
      </c>
      <c r="H61" s="1">
        <v>8</v>
      </c>
      <c r="I61" s="1">
        <v>64</v>
      </c>
      <c r="J61" s="1">
        <v>63</v>
      </c>
      <c r="K61" s="1">
        <v>98.4375</v>
      </c>
      <c r="L61" s="1">
        <v>16</v>
      </c>
      <c r="M61" s="1">
        <v>25</v>
      </c>
      <c r="N61" s="1">
        <v>16</v>
      </c>
      <c r="O61" s="1">
        <v>25</v>
      </c>
      <c r="P61" s="1">
        <v>-10.3383125</v>
      </c>
      <c r="Q61" s="1">
        <f t="shared" si="1"/>
        <v>-165.413</v>
      </c>
      <c r="R61" s="1">
        <v>-10.187</v>
      </c>
      <c r="S61" s="1">
        <v>-13.79</v>
      </c>
      <c r="T61" s="1">
        <v>-8.405</v>
      </c>
      <c r="U61" s="1">
        <v>3.3866875</v>
      </c>
      <c r="V61" s="1">
        <v>-7.0715</v>
      </c>
      <c r="W61" s="1">
        <v>-5.0661875</v>
      </c>
      <c r="X61" s="1">
        <v>-7.7405</v>
      </c>
      <c r="Y61" s="1">
        <v>0.137633318160286</v>
      </c>
      <c r="Z61" s="1">
        <v>0.108147473729719</v>
      </c>
      <c r="AA61" s="1">
        <v>0.551904761904762</v>
      </c>
      <c r="AB61" s="1">
        <v>0.55</v>
      </c>
      <c r="AC61" s="1">
        <v>0.163935211131646</v>
      </c>
      <c r="AD61" s="1">
        <v>0.167796195584611</v>
      </c>
      <c r="AE61" s="1">
        <v>0.754631539595174</v>
      </c>
      <c r="AF61" s="1">
        <v>0.797617784431629</v>
      </c>
      <c r="AG61" s="1">
        <v>0.767020442604629</v>
      </c>
      <c r="AH61" s="1">
        <v>0.78260074493955</v>
      </c>
      <c r="AI61" s="1">
        <v>0.818199723446216</v>
      </c>
      <c r="AJ61" s="1">
        <v>0.800142265379416</v>
      </c>
      <c r="AK61" s="1">
        <v>0.806484990768919</v>
      </c>
      <c r="AL61" s="1">
        <v>0.814963686712011</v>
      </c>
      <c r="AM61" s="1">
        <v>0.266399959942833</v>
      </c>
      <c r="AN61" s="1">
        <v>0.637919783586286</v>
      </c>
      <c r="AO61" s="1">
        <v>59</v>
      </c>
    </row>
    <row r="62" s="1" customFormat="1" spans="1:41">
      <c r="A62" s="1" t="s">
        <v>258</v>
      </c>
      <c r="B62" s="1" t="s">
        <v>259</v>
      </c>
      <c r="C62" s="1">
        <v>2307.792207</v>
      </c>
      <c r="D62" s="1" t="s">
        <v>260</v>
      </c>
      <c r="E62" s="1" t="s">
        <v>261</v>
      </c>
      <c r="F62" s="1" t="s">
        <v>45</v>
      </c>
      <c r="G62" s="1" t="s">
        <v>46</v>
      </c>
      <c r="H62" s="1">
        <v>8</v>
      </c>
      <c r="I62" s="1">
        <v>64</v>
      </c>
      <c r="J62" s="1">
        <v>61</v>
      </c>
      <c r="K62" s="1">
        <v>95.3125</v>
      </c>
      <c r="L62" s="1">
        <v>40</v>
      </c>
      <c r="M62" s="1">
        <v>62.5</v>
      </c>
      <c r="N62" s="1">
        <v>40</v>
      </c>
      <c r="O62" s="1">
        <v>62.5</v>
      </c>
      <c r="P62" s="1">
        <v>-9.441975</v>
      </c>
      <c r="Q62" s="1">
        <f t="shared" si="1"/>
        <v>-377.679</v>
      </c>
      <c r="R62" s="1">
        <v>-9.259</v>
      </c>
      <c r="S62" s="1">
        <v>-12.724</v>
      </c>
      <c r="T62" s="1">
        <v>-6.717</v>
      </c>
      <c r="U62" s="1">
        <v>-6.9122</v>
      </c>
      <c r="V62" s="1">
        <v>-7.277</v>
      </c>
      <c r="W62" s="1">
        <v>-7.811075</v>
      </c>
      <c r="X62" s="1">
        <v>-7.795</v>
      </c>
      <c r="Y62" s="1">
        <v>0.089501398668109</v>
      </c>
      <c r="Z62" s="1">
        <v>0.0680289654900726</v>
      </c>
      <c r="AA62" s="1">
        <v>0.521639344262295</v>
      </c>
      <c r="AB62" s="1">
        <v>0.52</v>
      </c>
      <c r="AC62" s="1">
        <v>0.145602682872077</v>
      </c>
      <c r="AD62" s="1">
        <v>0.133421529768703</v>
      </c>
      <c r="AE62" s="1">
        <v>0.727658747878992</v>
      </c>
      <c r="AF62" s="1">
        <v>0.798346586160151</v>
      </c>
      <c r="AG62" s="1">
        <v>0.818166380474046</v>
      </c>
      <c r="AH62" s="1">
        <v>0.788317163320837</v>
      </c>
      <c r="AI62" s="1">
        <v>0.809407210749204</v>
      </c>
      <c r="AJ62" s="1">
        <v>0.758184622624306</v>
      </c>
      <c r="AK62" s="1">
        <v>0.791188556859312</v>
      </c>
      <c r="AL62" s="1">
        <v>0.801912804180022</v>
      </c>
      <c r="AM62" s="1">
        <v>0.2429725236083</v>
      </c>
      <c r="AN62" s="1">
        <v>0.585394978364202</v>
      </c>
      <c r="AO62" s="1">
        <v>60</v>
      </c>
    </row>
    <row r="63" s="1" customFormat="1" spans="1:41">
      <c r="A63" s="1" t="s">
        <v>262</v>
      </c>
      <c r="B63" s="1" t="s">
        <v>263</v>
      </c>
      <c r="C63" s="1">
        <v>269.442487</v>
      </c>
      <c r="D63" s="1" t="s">
        <v>264</v>
      </c>
      <c r="E63" s="1" t="s">
        <v>265</v>
      </c>
      <c r="F63" s="1" t="s">
        <v>45</v>
      </c>
      <c r="G63" s="1" t="s">
        <v>46</v>
      </c>
      <c r="H63" s="1">
        <v>8</v>
      </c>
      <c r="I63" s="1">
        <v>64</v>
      </c>
      <c r="J63" s="1">
        <v>62</v>
      </c>
      <c r="K63" s="1">
        <v>96.875</v>
      </c>
      <c r="L63" s="1">
        <v>30</v>
      </c>
      <c r="M63" s="1">
        <v>46.875</v>
      </c>
      <c r="N63" s="1">
        <v>30</v>
      </c>
      <c r="O63" s="1">
        <v>46.875</v>
      </c>
      <c r="P63" s="1">
        <v>3.63323333333333</v>
      </c>
      <c r="Q63" s="1">
        <f t="shared" si="1"/>
        <v>108.997</v>
      </c>
      <c r="R63" s="1">
        <v>4.6225</v>
      </c>
      <c r="S63" s="1">
        <v>-5.14</v>
      </c>
      <c r="T63" s="1">
        <v>14.207</v>
      </c>
      <c r="U63" s="1">
        <v>73.9333</v>
      </c>
      <c r="V63" s="1">
        <v>100.499</v>
      </c>
      <c r="W63" s="1">
        <v>44.2668666666667</v>
      </c>
      <c r="X63" s="1">
        <v>18.011</v>
      </c>
      <c r="Y63" s="1">
        <v>0.43893285941413</v>
      </c>
      <c r="Z63" s="1">
        <v>0.46643704771819</v>
      </c>
      <c r="AA63" s="1">
        <v>0.715967741935484</v>
      </c>
      <c r="AB63" s="1">
        <v>0.725</v>
      </c>
      <c r="AC63" s="1">
        <v>0.25831673963746</v>
      </c>
      <c r="AD63" s="1">
        <v>0.271832526029127</v>
      </c>
      <c r="AE63" s="1">
        <v>0.781783648002651</v>
      </c>
      <c r="AF63" s="1">
        <v>0.807966673710559</v>
      </c>
      <c r="AG63" s="1">
        <v>0.819263245638571</v>
      </c>
      <c r="AH63" s="1">
        <v>0.816901611903433</v>
      </c>
      <c r="AI63" s="1">
        <v>0.824524112240883</v>
      </c>
      <c r="AJ63" s="1" t="s">
        <v>50</v>
      </c>
      <c r="AK63" s="1">
        <v>0.800441750260062</v>
      </c>
      <c r="AL63" s="1">
        <v>0.813761282450499</v>
      </c>
      <c r="AM63" s="1">
        <v>0.508906400270987</v>
      </c>
      <c r="AN63" s="1">
        <v>0.690555607023163</v>
      </c>
      <c r="AO63" s="1">
        <v>61</v>
      </c>
    </row>
    <row r="64" s="1" customFormat="1" spans="1:41">
      <c r="A64" s="1" t="s">
        <v>181</v>
      </c>
      <c r="B64" s="1" t="s">
        <v>266</v>
      </c>
      <c r="C64" s="1">
        <v>855.464343</v>
      </c>
      <c r="D64" s="1" t="s">
        <v>267</v>
      </c>
      <c r="E64" s="1" t="s">
        <v>268</v>
      </c>
      <c r="F64" s="1" t="s">
        <v>45</v>
      </c>
      <c r="G64" s="1" t="s">
        <v>46</v>
      </c>
      <c r="H64" s="1">
        <v>8</v>
      </c>
      <c r="I64" s="1">
        <v>64</v>
      </c>
      <c r="J64" s="1">
        <v>62</v>
      </c>
      <c r="K64" s="1">
        <v>96.875</v>
      </c>
      <c r="L64" s="1">
        <v>36</v>
      </c>
      <c r="M64" s="1">
        <v>56.25</v>
      </c>
      <c r="N64" s="1">
        <v>36</v>
      </c>
      <c r="O64" s="1">
        <v>56.25</v>
      </c>
      <c r="P64" s="1">
        <v>-7.7515</v>
      </c>
      <c r="Q64" s="1">
        <f t="shared" si="1"/>
        <v>-279.054</v>
      </c>
      <c r="R64" s="1">
        <v>-7.7645</v>
      </c>
      <c r="S64" s="1">
        <v>-10.01</v>
      </c>
      <c r="T64" s="1">
        <v>-5.228</v>
      </c>
      <c r="U64" s="1">
        <v>-5.03005555555556</v>
      </c>
      <c r="V64" s="1">
        <v>-5.015</v>
      </c>
      <c r="W64" s="1">
        <v>-5.55505555555556</v>
      </c>
      <c r="X64" s="1">
        <v>-5.442</v>
      </c>
      <c r="Y64" s="1">
        <v>0.384208816440529</v>
      </c>
      <c r="Z64" s="1">
        <v>0.370084228103634</v>
      </c>
      <c r="AA64" s="1">
        <v>0.597096774193548</v>
      </c>
      <c r="AB64" s="1">
        <v>0.58</v>
      </c>
      <c r="AC64" s="1">
        <v>0.199975438358154</v>
      </c>
      <c r="AD64" s="1">
        <v>0.178187943509741</v>
      </c>
      <c r="AE64" s="1">
        <v>0.754070380204587</v>
      </c>
      <c r="AF64" s="1">
        <v>0.798949959009155</v>
      </c>
      <c r="AG64" s="1">
        <v>0.808206542512804</v>
      </c>
      <c r="AH64" s="1">
        <v>0.810788907981347</v>
      </c>
      <c r="AI64" s="1">
        <v>0.825575648155043</v>
      </c>
      <c r="AJ64" s="1">
        <v>0.832534919206192</v>
      </c>
      <c r="AK64" s="1">
        <v>0.810959940235737</v>
      </c>
      <c r="AL64" s="1">
        <v>0.819894097170622</v>
      </c>
      <c r="AM64" s="1">
        <v>0.332355017665151</v>
      </c>
      <c r="AN64" s="1">
        <v>0.661639675276917</v>
      </c>
      <c r="AO64" s="1">
        <v>62</v>
      </c>
    </row>
    <row r="65" s="1" customFormat="1" spans="1:41">
      <c r="A65" s="1" t="s">
        <v>269</v>
      </c>
      <c r="B65" s="1" t="s">
        <v>270</v>
      </c>
      <c r="C65" s="1">
        <v>1033.64902</v>
      </c>
      <c r="D65" s="1" t="s">
        <v>271</v>
      </c>
      <c r="E65" s="1" t="s">
        <v>272</v>
      </c>
      <c r="F65" s="1" t="s">
        <v>45</v>
      </c>
      <c r="G65" s="1" t="s">
        <v>46</v>
      </c>
      <c r="H65" s="1">
        <v>8</v>
      </c>
      <c r="I65" s="1">
        <v>64</v>
      </c>
      <c r="J65" s="1">
        <v>62</v>
      </c>
      <c r="K65" s="1">
        <v>96.875</v>
      </c>
      <c r="L65" s="1">
        <v>45</v>
      </c>
      <c r="M65" s="1">
        <v>70.3125</v>
      </c>
      <c r="N65" s="1">
        <v>45</v>
      </c>
      <c r="O65" s="1">
        <v>70.3125</v>
      </c>
      <c r="P65" s="1">
        <v>-5.91973333333333</v>
      </c>
      <c r="Q65" s="1">
        <f t="shared" si="1"/>
        <v>-266.388</v>
      </c>
      <c r="R65" s="1">
        <v>-5.838</v>
      </c>
      <c r="S65" s="1">
        <v>-8.553</v>
      </c>
      <c r="T65" s="1">
        <v>-3.96</v>
      </c>
      <c r="U65" s="1">
        <v>-2.09626666666667</v>
      </c>
      <c r="V65" s="1">
        <v>-2.511</v>
      </c>
      <c r="W65" s="1">
        <v>-2.99217777777778</v>
      </c>
      <c r="X65" s="1">
        <v>-3.009</v>
      </c>
      <c r="Y65" s="1">
        <v>0.29098740021871</v>
      </c>
      <c r="Z65" s="1">
        <v>0.264119040026434</v>
      </c>
      <c r="AA65" s="1">
        <v>0.616774193548387</v>
      </c>
      <c r="AB65" s="1">
        <v>0.6</v>
      </c>
      <c r="AC65" s="1">
        <v>0.193382392922112</v>
      </c>
      <c r="AD65" s="1">
        <v>0.163324443114243</v>
      </c>
      <c r="AE65" s="1">
        <v>0.762579395148202</v>
      </c>
      <c r="AF65" s="1">
        <v>0.801621676395834</v>
      </c>
      <c r="AG65" s="1">
        <v>0.782516153249799</v>
      </c>
      <c r="AH65" s="1">
        <v>0.798583434256773</v>
      </c>
      <c r="AI65" s="1">
        <v>0.82716765496476</v>
      </c>
      <c r="AJ65" s="1">
        <v>0.794584788461917</v>
      </c>
      <c r="AK65" s="1">
        <v>0.806874502931543</v>
      </c>
      <c r="AL65" s="1">
        <v>0.814479005751517</v>
      </c>
      <c r="AM65" s="1">
        <v>0.332673943082637</v>
      </c>
      <c r="AN65" s="1">
        <v>0.654845325290065</v>
      </c>
      <c r="AO65" s="1">
        <v>63</v>
      </c>
    </row>
    <row r="66" s="1" customFormat="1" spans="1:41">
      <c r="A66" s="1" t="s">
        <v>273</v>
      </c>
      <c r="B66" s="1" t="s">
        <v>274</v>
      </c>
      <c r="C66" s="1">
        <v>801.588477</v>
      </c>
      <c r="D66" s="1" t="s">
        <v>275</v>
      </c>
      <c r="E66" s="1" t="s">
        <v>276</v>
      </c>
      <c r="F66" s="1" t="s">
        <v>45</v>
      </c>
      <c r="G66" s="1" t="s">
        <v>46</v>
      </c>
      <c r="H66" s="1">
        <v>8</v>
      </c>
      <c r="I66" s="1">
        <v>64</v>
      </c>
      <c r="J66" s="1">
        <v>63</v>
      </c>
      <c r="K66" s="1">
        <v>98.4375</v>
      </c>
      <c r="L66" s="1">
        <v>47</v>
      </c>
      <c r="M66" s="1">
        <v>73.4375</v>
      </c>
      <c r="N66" s="1">
        <v>47</v>
      </c>
      <c r="O66" s="1">
        <v>73.4375</v>
      </c>
      <c r="P66" s="1">
        <v>-6.60742553191489</v>
      </c>
      <c r="Q66" s="1">
        <f t="shared" si="1"/>
        <v>-310.549</v>
      </c>
      <c r="R66" s="1">
        <v>-6.253</v>
      </c>
      <c r="S66" s="1">
        <v>-11.73</v>
      </c>
      <c r="T66" s="1">
        <v>-4.967</v>
      </c>
      <c r="U66" s="1">
        <v>-3.54306382978723</v>
      </c>
      <c r="V66" s="1">
        <v>-4.384</v>
      </c>
      <c r="W66" s="1">
        <v>-4.79931914893617</v>
      </c>
      <c r="X66" s="1">
        <v>-5.03</v>
      </c>
      <c r="Y66" s="1">
        <v>0.427190690670262</v>
      </c>
      <c r="Z66" s="1">
        <v>0.451962923171141</v>
      </c>
      <c r="AA66" s="1">
        <v>0.704444444444444</v>
      </c>
      <c r="AB66" s="1">
        <v>0.72</v>
      </c>
      <c r="AC66" s="1">
        <v>0.197134926720572</v>
      </c>
      <c r="AD66" s="1">
        <v>0.176710164741096</v>
      </c>
      <c r="AE66" s="1">
        <v>0.771243345880403</v>
      </c>
      <c r="AF66" s="1">
        <v>0.809313168660979</v>
      </c>
      <c r="AG66" s="1">
        <v>0.806578330791322</v>
      </c>
      <c r="AH66" s="1">
        <v>0.804170420353105</v>
      </c>
      <c r="AI66" s="1">
        <v>0.819922208043749</v>
      </c>
      <c r="AJ66" s="1">
        <v>0.800251471849872</v>
      </c>
      <c r="AK66" s="1">
        <v>0.8071271790125</v>
      </c>
      <c r="AL66" s="1">
        <v>0.810883917278902</v>
      </c>
      <c r="AM66" s="1">
        <v>0.398733711275622</v>
      </c>
      <c r="AN66" s="1">
        <v>0.677366502216005</v>
      </c>
      <c r="AO66" s="1">
        <v>64</v>
      </c>
    </row>
    <row r="67" s="1" customFormat="1" spans="1:41">
      <c r="A67" s="1" t="s">
        <v>277</v>
      </c>
      <c r="B67" s="1" t="s">
        <v>278</v>
      </c>
      <c r="C67" s="1">
        <v>858.987411</v>
      </c>
      <c r="D67" s="1" t="s">
        <v>279</v>
      </c>
      <c r="E67" s="1" t="s">
        <v>280</v>
      </c>
      <c r="F67" s="1" t="s">
        <v>45</v>
      </c>
      <c r="G67" s="1" t="s">
        <v>46</v>
      </c>
      <c r="H67" s="1">
        <v>8</v>
      </c>
      <c r="I67" s="1">
        <v>64</v>
      </c>
      <c r="J67" s="1">
        <v>63</v>
      </c>
      <c r="K67" s="1">
        <v>98.4375</v>
      </c>
      <c r="L67" s="1">
        <v>42</v>
      </c>
      <c r="M67" s="1">
        <v>65.625</v>
      </c>
      <c r="N67" s="1">
        <v>42</v>
      </c>
      <c r="O67" s="1">
        <v>65.625</v>
      </c>
      <c r="P67" s="1">
        <v>-5.84709523809524</v>
      </c>
      <c r="Q67" s="1">
        <f t="shared" ref="Q67:Q98" si="2">PRODUCT(N67,P67)</f>
        <v>-245.578</v>
      </c>
      <c r="R67" s="1">
        <v>-5.497</v>
      </c>
      <c r="S67" s="1">
        <v>-9.761</v>
      </c>
      <c r="T67" s="1">
        <v>-4.335</v>
      </c>
      <c r="U67" s="1">
        <v>0.184214285714285</v>
      </c>
      <c r="V67" s="1">
        <v>-2.9905</v>
      </c>
      <c r="W67" s="1">
        <v>-1.00664285714286</v>
      </c>
      <c r="X67" s="1">
        <v>-3.6395</v>
      </c>
      <c r="Y67" s="1">
        <v>0.418382156927375</v>
      </c>
      <c r="Z67" s="1">
        <v>0.426564180819514</v>
      </c>
      <c r="AA67" s="1">
        <v>0.704444444444445</v>
      </c>
      <c r="AB67" s="1">
        <v>0.7</v>
      </c>
      <c r="AC67" s="1">
        <v>0.234178172078437</v>
      </c>
      <c r="AD67" s="1">
        <v>0.245310988925223</v>
      </c>
      <c r="AE67" s="1">
        <v>0.764700143482342</v>
      </c>
      <c r="AF67" s="1">
        <v>0.804679941205019</v>
      </c>
      <c r="AG67" s="1" t="s">
        <v>50</v>
      </c>
      <c r="AH67" s="1">
        <v>0.813239445981776</v>
      </c>
      <c r="AI67" s="1">
        <v>0.832554611157698</v>
      </c>
      <c r="AJ67" s="1" t="s">
        <v>50</v>
      </c>
      <c r="AK67" s="1">
        <v>0.810024775969828</v>
      </c>
      <c r="AL67" s="1">
        <v>0.810679100177263</v>
      </c>
      <c r="AM67" s="1">
        <v>0.395935734620084</v>
      </c>
      <c r="AN67" s="1">
        <v>0.646798678631635</v>
      </c>
      <c r="AO67" s="1">
        <v>65</v>
      </c>
    </row>
    <row r="68" s="1" customFormat="1" spans="1:41">
      <c r="A68" s="1" t="s">
        <v>281</v>
      </c>
      <c r="B68" s="1" t="s">
        <v>282</v>
      </c>
      <c r="C68" s="1">
        <v>414.439177</v>
      </c>
      <c r="D68" s="1" t="s">
        <v>283</v>
      </c>
      <c r="E68" s="1" t="s">
        <v>284</v>
      </c>
      <c r="F68" s="1" t="s">
        <v>45</v>
      </c>
      <c r="G68" s="1" t="s">
        <v>46</v>
      </c>
      <c r="H68" s="1">
        <v>8</v>
      </c>
      <c r="I68" s="1">
        <v>64</v>
      </c>
      <c r="J68" s="1">
        <v>63</v>
      </c>
      <c r="K68" s="1">
        <v>98.4375</v>
      </c>
      <c r="L68" s="1">
        <v>49</v>
      </c>
      <c r="M68" s="1">
        <v>76.5625</v>
      </c>
      <c r="N68" s="1">
        <v>49</v>
      </c>
      <c r="O68" s="1">
        <v>76.5625</v>
      </c>
      <c r="P68" s="1">
        <v>-5.44422448979592</v>
      </c>
      <c r="Q68" s="1">
        <f t="shared" si="2"/>
        <v>-266.767</v>
      </c>
      <c r="R68" s="1">
        <v>-5.33</v>
      </c>
      <c r="S68" s="1">
        <v>-8.75</v>
      </c>
      <c r="T68" s="1">
        <v>-4.934</v>
      </c>
      <c r="U68" s="1">
        <v>-2.66240816326531</v>
      </c>
      <c r="V68" s="1">
        <v>-3.653</v>
      </c>
      <c r="W68" s="1">
        <v>-3.82</v>
      </c>
      <c r="X68" s="1">
        <v>-4.112</v>
      </c>
      <c r="Y68" s="1">
        <v>0.479529876719364</v>
      </c>
      <c r="Z68" s="1">
        <v>0.485975530954351</v>
      </c>
      <c r="AA68" s="1">
        <v>0.777936507936508</v>
      </c>
      <c r="AB68" s="1">
        <v>0.82</v>
      </c>
      <c r="AC68" s="1">
        <v>0.258226968044624</v>
      </c>
      <c r="AD68" s="1">
        <v>0.282979476057249</v>
      </c>
      <c r="AE68" s="1">
        <v>0.788321825825257</v>
      </c>
      <c r="AF68" s="1">
        <v>0.813073303129702</v>
      </c>
      <c r="AG68" s="1" t="s">
        <v>50</v>
      </c>
      <c r="AH68" s="1">
        <v>0.798852052505931</v>
      </c>
      <c r="AI68" s="1">
        <v>0.826845312984676</v>
      </c>
      <c r="AJ68" s="1" t="s">
        <v>50</v>
      </c>
      <c r="AK68" s="1">
        <v>0.813763422193822</v>
      </c>
      <c r="AL68" s="1">
        <v>0.805511277537473</v>
      </c>
      <c r="AM68" s="1">
        <v>0.517455447791105</v>
      </c>
      <c r="AN68" s="1">
        <v>0.716407825844219</v>
      </c>
      <c r="AO68" s="1">
        <v>66</v>
      </c>
    </row>
    <row r="69" s="1" customFormat="1" spans="1:41">
      <c r="A69" s="1" t="s">
        <v>285</v>
      </c>
      <c r="B69" s="1" t="s">
        <v>286</v>
      </c>
      <c r="C69" s="1">
        <v>703.020598</v>
      </c>
      <c r="D69" s="1" t="s">
        <v>287</v>
      </c>
      <c r="E69" s="1" t="s">
        <v>288</v>
      </c>
      <c r="F69" s="1" t="s">
        <v>45</v>
      </c>
      <c r="G69" s="1" t="s">
        <v>46</v>
      </c>
      <c r="H69" s="1">
        <v>8</v>
      </c>
      <c r="I69" s="1">
        <v>64</v>
      </c>
      <c r="J69" s="1">
        <v>63</v>
      </c>
      <c r="K69" s="1">
        <v>98.4375</v>
      </c>
      <c r="L69" s="1">
        <v>27</v>
      </c>
      <c r="M69" s="1">
        <v>42.1875</v>
      </c>
      <c r="N69" s="1">
        <v>27</v>
      </c>
      <c r="O69" s="1">
        <v>42.1875</v>
      </c>
      <c r="P69" s="1">
        <v>-6.87096296296296</v>
      </c>
      <c r="Q69" s="1">
        <f t="shared" si="2"/>
        <v>-185.516</v>
      </c>
      <c r="R69" s="1">
        <v>-6.733</v>
      </c>
      <c r="S69" s="1">
        <v>-8.61</v>
      </c>
      <c r="T69" s="1">
        <v>-5.474</v>
      </c>
      <c r="U69" s="1">
        <v>-4.19403703703704</v>
      </c>
      <c r="V69" s="1">
        <v>-4.036</v>
      </c>
      <c r="W69" s="1">
        <v>-4.58411111111111</v>
      </c>
      <c r="X69" s="1">
        <v>-4.665</v>
      </c>
      <c r="Y69" s="1">
        <v>0.216743450684882</v>
      </c>
      <c r="Z69" s="1">
        <v>0.187082675994535</v>
      </c>
      <c r="AA69" s="1">
        <v>0.587460317460317</v>
      </c>
      <c r="AB69" s="1">
        <v>0.59</v>
      </c>
      <c r="AC69" s="1">
        <v>0.240139819075082</v>
      </c>
      <c r="AD69" s="1">
        <v>0.222007481006993</v>
      </c>
      <c r="AE69" s="1">
        <v>0.771264746893659</v>
      </c>
      <c r="AF69" s="1">
        <v>0.809199954491375</v>
      </c>
      <c r="AG69" s="1" t="s">
        <v>50</v>
      </c>
      <c r="AH69" s="1">
        <v>0.808792879537375</v>
      </c>
      <c r="AI69" s="1">
        <v>0.816731158654596</v>
      </c>
      <c r="AJ69" s="1" t="s">
        <v>50</v>
      </c>
      <c r="AK69" s="1">
        <v>0.815705435456932</v>
      </c>
      <c r="AL69" s="1">
        <v>0.807170639084252</v>
      </c>
      <c r="AM69" s="1">
        <v>0.312531946327989</v>
      </c>
      <c r="AN69" s="1">
        <v>0.696718927066571</v>
      </c>
      <c r="AO69" s="1">
        <v>67</v>
      </c>
    </row>
    <row r="70" s="1" customFormat="1" spans="1:41">
      <c r="A70" s="1" t="s">
        <v>289</v>
      </c>
      <c r="B70" s="1" t="s">
        <v>290</v>
      </c>
      <c r="C70" s="1">
        <v>986.115843</v>
      </c>
      <c r="D70" s="1" t="s">
        <v>291</v>
      </c>
      <c r="E70" s="1" t="s">
        <v>292</v>
      </c>
      <c r="F70" s="1" t="s">
        <v>45</v>
      </c>
      <c r="G70" s="1" t="s">
        <v>46</v>
      </c>
      <c r="H70" s="1">
        <v>8</v>
      </c>
      <c r="I70" s="1">
        <v>64</v>
      </c>
      <c r="J70" s="1">
        <v>64</v>
      </c>
      <c r="K70" s="1">
        <v>100</v>
      </c>
      <c r="L70" s="1">
        <v>28</v>
      </c>
      <c r="M70" s="1">
        <v>43.75</v>
      </c>
      <c r="N70" s="1">
        <v>28</v>
      </c>
      <c r="O70" s="1">
        <v>43.75</v>
      </c>
      <c r="P70" s="1">
        <v>-9.308</v>
      </c>
      <c r="Q70" s="1">
        <f t="shared" si="2"/>
        <v>-260.624</v>
      </c>
      <c r="R70" s="1">
        <v>-9.2385</v>
      </c>
      <c r="S70" s="1">
        <v>-12.308</v>
      </c>
      <c r="T70" s="1">
        <v>-7.5</v>
      </c>
      <c r="U70" s="1">
        <v>-7.29396428571429</v>
      </c>
      <c r="V70" s="1">
        <v>-7.124</v>
      </c>
      <c r="W70" s="1">
        <v>-7.56703571428571</v>
      </c>
      <c r="X70" s="1">
        <v>-7.3855</v>
      </c>
      <c r="Y70" s="1">
        <v>0.257673516987384</v>
      </c>
      <c r="Z70" s="1">
        <v>0.224006848373687</v>
      </c>
      <c r="AA70" s="1">
        <v>0.5609375</v>
      </c>
      <c r="AB70" s="1">
        <v>0.55</v>
      </c>
      <c r="AC70" s="1">
        <v>0.19628048345338</v>
      </c>
      <c r="AD70" s="1">
        <v>0.181637636532691</v>
      </c>
      <c r="AE70" s="1">
        <v>0.731457823820238</v>
      </c>
      <c r="AF70" s="1">
        <v>0.786052677432374</v>
      </c>
      <c r="AG70" s="1">
        <v>0.784131867533091</v>
      </c>
      <c r="AH70" s="1">
        <v>0.788416621606308</v>
      </c>
      <c r="AI70" s="1">
        <v>0.816770302442719</v>
      </c>
      <c r="AJ70" s="1">
        <v>0.810179342581479</v>
      </c>
      <c r="AK70" s="1">
        <v>0.787706823725571</v>
      </c>
      <c r="AL70" s="1">
        <v>0.815237618337621</v>
      </c>
      <c r="AM70" s="1">
        <v>0.285345064589129</v>
      </c>
      <c r="AN70" s="1">
        <v>0.579282640207728</v>
      </c>
      <c r="AO70" s="1">
        <v>68</v>
      </c>
    </row>
    <row r="71" s="1" customFormat="1" spans="1:41">
      <c r="A71" s="1" t="s">
        <v>293</v>
      </c>
      <c r="B71" s="1" t="s">
        <v>294</v>
      </c>
      <c r="C71" s="1">
        <v>357.199951</v>
      </c>
      <c r="D71" s="1" t="s">
        <v>295</v>
      </c>
      <c r="E71" s="1" t="s">
        <v>296</v>
      </c>
      <c r="F71" s="1" t="s">
        <v>45</v>
      </c>
      <c r="G71" s="1" t="s">
        <v>46</v>
      </c>
      <c r="H71" s="1">
        <v>8</v>
      </c>
      <c r="I71" s="1">
        <v>64</v>
      </c>
      <c r="J71" s="1">
        <v>63</v>
      </c>
      <c r="K71" s="1">
        <v>98.4375</v>
      </c>
      <c r="L71" s="1">
        <v>50</v>
      </c>
      <c r="M71" s="1">
        <v>78.125</v>
      </c>
      <c r="N71" s="1">
        <v>50</v>
      </c>
      <c r="O71" s="1">
        <v>78.125</v>
      </c>
      <c r="P71" s="1">
        <v>-5.36124</v>
      </c>
      <c r="Q71" s="1">
        <f t="shared" si="2"/>
        <v>-268.062</v>
      </c>
      <c r="R71" s="1">
        <v>-5.153</v>
      </c>
      <c r="S71" s="1">
        <v>-8.281</v>
      </c>
      <c r="T71" s="1">
        <v>-4.047</v>
      </c>
      <c r="U71" s="1">
        <v>-2.98928</v>
      </c>
      <c r="V71" s="1">
        <v>-2.994</v>
      </c>
      <c r="W71" s="1">
        <v>-3.29898</v>
      </c>
      <c r="X71" s="1">
        <v>-3.24</v>
      </c>
      <c r="Y71" s="1">
        <v>0.43220820526809</v>
      </c>
      <c r="Z71" s="1">
        <v>0.468720018021087</v>
      </c>
      <c r="AA71" s="1">
        <v>0.683015873015873</v>
      </c>
      <c r="AB71" s="1">
        <v>0.66</v>
      </c>
      <c r="AC71" s="1">
        <v>0.249252753260267</v>
      </c>
      <c r="AD71" s="1">
        <v>0.256181088027344</v>
      </c>
      <c r="AE71" s="1">
        <v>0.77719316524146</v>
      </c>
      <c r="AF71" s="1">
        <v>0.810341890961312</v>
      </c>
      <c r="AG71" s="1">
        <v>0.815850251468426</v>
      </c>
      <c r="AH71" s="1">
        <v>0.810929072354436</v>
      </c>
      <c r="AI71" s="1">
        <v>0.827197121764212</v>
      </c>
      <c r="AJ71" s="1">
        <v>0.832337279313549</v>
      </c>
      <c r="AK71" s="1">
        <v>0.813250057800956</v>
      </c>
      <c r="AL71" s="1">
        <v>0.816651806416294</v>
      </c>
      <c r="AM71" s="1">
        <v>0.501677074065356</v>
      </c>
      <c r="AN71" s="1">
        <v>0.679319985672088</v>
      </c>
      <c r="AO71" s="1">
        <v>69</v>
      </c>
    </row>
    <row r="72" s="1" customFormat="1" spans="1:41">
      <c r="A72" s="1" t="s">
        <v>297</v>
      </c>
      <c r="B72" s="1" t="s">
        <v>298</v>
      </c>
      <c r="C72" s="1">
        <v>1340.938812</v>
      </c>
      <c r="D72" s="1" t="s">
        <v>299</v>
      </c>
      <c r="E72" s="1" t="s">
        <v>300</v>
      </c>
      <c r="F72" s="1" t="s">
        <v>45</v>
      </c>
      <c r="G72" s="1" t="s">
        <v>46</v>
      </c>
      <c r="H72" s="1">
        <v>8</v>
      </c>
      <c r="I72" s="1">
        <v>64</v>
      </c>
      <c r="J72" s="1">
        <v>62</v>
      </c>
      <c r="K72" s="1">
        <v>96.875</v>
      </c>
      <c r="L72" s="1">
        <v>26</v>
      </c>
      <c r="M72" s="1">
        <v>40.625</v>
      </c>
      <c r="N72" s="1">
        <v>26</v>
      </c>
      <c r="O72" s="1">
        <v>40.625</v>
      </c>
      <c r="P72" s="1">
        <v>-12.6936923076923</v>
      </c>
      <c r="Q72" s="1">
        <f t="shared" si="2"/>
        <v>-330.036</v>
      </c>
      <c r="R72" s="1">
        <v>-12.3295</v>
      </c>
      <c r="S72" s="1">
        <v>-17.323</v>
      </c>
      <c r="T72" s="1">
        <v>-9.62</v>
      </c>
      <c r="U72" s="1">
        <v>-3.13119230769231</v>
      </c>
      <c r="V72" s="1">
        <v>-11.362</v>
      </c>
      <c r="W72" s="1">
        <v>-4.09157692307692</v>
      </c>
      <c r="X72" s="1">
        <v>-11.5475</v>
      </c>
      <c r="Y72" s="1">
        <v>0.127770957632023</v>
      </c>
      <c r="Z72" s="1">
        <v>0.104740425724724</v>
      </c>
      <c r="AA72" s="1">
        <v>0.528064516129032</v>
      </c>
      <c r="AB72" s="1">
        <v>0.52</v>
      </c>
      <c r="AC72" s="1">
        <v>0.236676534542209</v>
      </c>
      <c r="AD72" s="1">
        <v>0.234732100275244</v>
      </c>
      <c r="AE72" s="1">
        <v>0.71380200404965</v>
      </c>
      <c r="AF72" s="1">
        <v>0.781738085803301</v>
      </c>
      <c r="AG72" s="1">
        <v>0.755305806685507</v>
      </c>
      <c r="AH72" s="1">
        <v>0.77645818836044</v>
      </c>
      <c r="AI72" s="1">
        <v>0.807217775495743</v>
      </c>
      <c r="AJ72" s="1">
        <v>0.761831105745234</v>
      </c>
      <c r="AK72" s="1">
        <v>0.800065057036708</v>
      </c>
      <c r="AL72" s="1">
        <v>0.804745546797783</v>
      </c>
      <c r="AM72" s="1">
        <v>0.258551096785884</v>
      </c>
      <c r="AN72" s="1">
        <v>0.56916806098649</v>
      </c>
      <c r="AO72" s="1">
        <v>70</v>
      </c>
    </row>
    <row r="73" s="1" customFormat="1" spans="1:41">
      <c r="A73" s="1" t="s">
        <v>301</v>
      </c>
      <c r="B73" s="1" t="s">
        <v>302</v>
      </c>
      <c r="C73" s="1">
        <v>401.584883</v>
      </c>
      <c r="D73" s="1" t="s">
        <v>303</v>
      </c>
      <c r="E73" s="1" t="s">
        <v>304</v>
      </c>
      <c r="F73" s="1" t="s">
        <v>45</v>
      </c>
      <c r="G73" s="1" t="s">
        <v>46</v>
      </c>
      <c r="H73" s="1">
        <v>8</v>
      </c>
      <c r="I73" s="1">
        <v>64</v>
      </c>
      <c r="J73" s="1">
        <v>62</v>
      </c>
      <c r="K73" s="1">
        <v>96.875</v>
      </c>
      <c r="L73" s="1">
        <v>49</v>
      </c>
      <c r="M73" s="1">
        <v>76.5625</v>
      </c>
      <c r="N73" s="1">
        <v>49</v>
      </c>
      <c r="O73" s="1">
        <v>76.5625</v>
      </c>
      <c r="P73" s="1">
        <v>-4.13008163265306</v>
      </c>
      <c r="Q73" s="1">
        <f t="shared" si="2"/>
        <v>-202.374</v>
      </c>
      <c r="R73" s="1">
        <v>-3.921</v>
      </c>
      <c r="S73" s="1">
        <v>-6.18</v>
      </c>
      <c r="T73" s="1">
        <v>-3.303</v>
      </c>
      <c r="U73" s="1">
        <v>-1.71328571428571</v>
      </c>
      <c r="V73" s="1">
        <v>-1.56</v>
      </c>
      <c r="W73" s="1">
        <v>-2.38938775510204</v>
      </c>
      <c r="X73" s="1">
        <v>-2.216</v>
      </c>
      <c r="Y73" s="1">
        <v>0.45383160942406</v>
      </c>
      <c r="Z73" s="1">
        <v>0.459373014906271</v>
      </c>
      <c r="AA73" s="1">
        <v>0.727903225806452</v>
      </c>
      <c r="AB73" s="1">
        <v>0.715</v>
      </c>
      <c r="AC73" s="1">
        <v>0.223251395414195</v>
      </c>
      <c r="AD73" s="1">
        <v>0.24190614713048</v>
      </c>
      <c r="AE73" s="1">
        <v>0.779649476829421</v>
      </c>
      <c r="AF73" s="1">
        <v>0.814972164762647</v>
      </c>
      <c r="AG73" s="1">
        <v>0.780513764670969</v>
      </c>
      <c r="AH73" s="1">
        <v>0.812917697267227</v>
      </c>
      <c r="AI73" s="1">
        <v>0.821999293396673</v>
      </c>
      <c r="AJ73" s="1" t="s">
        <v>50</v>
      </c>
      <c r="AK73" s="1">
        <v>0.811758616317543</v>
      </c>
      <c r="AL73" s="1">
        <v>0.823314094608188</v>
      </c>
      <c r="AM73" s="1">
        <v>0.492081932067794</v>
      </c>
      <c r="AN73" s="1">
        <v>0.70824368796309</v>
      </c>
      <c r="AO73" s="1">
        <v>71</v>
      </c>
    </row>
    <row r="74" s="1" customFormat="1" spans="1:41">
      <c r="A74" s="1" t="s">
        <v>305</v>
      </c>
      <c r="B74" s="1" t="s">
        <v>306</v>
      </c>
      <c r="C74" s="1">
        <v>1228.017441</v>
      </c>
      <c r="D74" s="1" t="s">
        <v>307</v>
      </c>
      <c r="E74" s="1" t="s">
        <v>308</v>
      </c>
      <c r="F74" s="1" t="s">
        <v>45</v>
      </c>
      <c r="G74" s="1" t="s">
        <v>46</v>
      </c>
      <c r="H74" s="1">
        <v>8</v>
      </c>
      <c r="I74" s="1">
        <v>64</v>
      </c>
      <c r="J74" s="1">
        <v>61</v>
      </c>
      <c r="K74" s="1">
        <v>95.3125</v>
      </c>
      <c r="L74" s="1">
        <v>18</v>
      </c>
      <c r="M74" s="1">
        <v>28.125</v>
      </c>
      <c r="N74" s="1">
        <v>18</v>
      </c>
      <c r="O74" s="1">
        <v>28.125</v>
      </c>
      <c r="P74" s="1">
        <v>-11.1603888888889</v>
      </c>
      <c r="Q74" s="1">
        <f t="shared" si="2"/>
        <v>-200.887</v>
      </c>
      <c r="R74" s="1">
        <v>-11.278</v>
      </c>
      <c r="S74" s="1">
        <v>-12.845</v>
      </c>
      <c r="T74" s="1">
        <v>-9.332</v>
      </c>
      <c r="U74" s="1">
        <v>-10.5782777777778</v>
      </c>
      <c r="V74" s="1">
        <v>-10.6995</v>
      </c>
      <c r="W74" s="1">
        <v>-10.7646666666667</v>
      </c>
      <c r="X74" s="1">
        <v>-10.9995</v>
      </c>
      <c r="Y74" s="1">
        <v>0.154425409173648</v>
      </c>
      <c r="Z74" s="1">
        <v>0.117215901287933</v>
      </c>
      <c r="AA74" s="1">
        <v>0.498196721311475</v>
      </c>
      <c r="AB74" s="1">
        <v>0.49</v>
      </c>
      <c r="AC74" s="1">
        <v>0.251911515445485</v>
      </c>
      <c r="AD74" s="1">
        <v>0.264466920025202</v>
      </c>
      <c r="AE74" s="1">
        <v>0.731949741936375</v>
      </c>
      <c r="AF74" s="1">
        <v>0.792135768075035</v>
      </c>
      <c r="AG74" s="1">
        <v>0.804161552602128</v>
      </c>
      <c r="AH74" s="1">
        <v>0.777933426486443</v>
      </c>
      <c r="AI74" s="1">
        <v>0.817789371929854</v>
      </c>
      <c r="AJ74" s="1">
        <v>0.804292537634171</v>
      </c>
      <c r="AK74" s="1">
        <v>0.796916363117277</v>
      </c>
      <c r="AL74" s="1">
        <v>0.768545815868189</v>
      </c>
      <c r="AM74" s="1">
        <v>0.279747632969331</v>
      </c>
      <c r="AN74" s="1">
        <v>0.599047545310997</v>
      </c>
      <c r="AO74" s="1">
        <v>72</v>
      </c>
    </row>
    <row r="75" s="1" customFormat="1" spans="1:41">
      <c r="A75" s="1" t="s">
        <v>309</v>
      </c>
      <c r="B75" s="1" t="s">
        <v>310</v>
      </c>
      <c r="C75" s="1">
        <v>369.155962</v>
      </c>
      <c r="D75" s="1" t="s">
        <v>311</v>
      </c>
      <c r="E75" s="1" t="s">
        <v>312</v>
      </c>
      <c r="F75" s="1" t="s">
        <v>45</v>
      </c>
      <c r="G75" s="1" t="s">
        <v>46</v>
      </c>
      <c r="H75" s="1">
        <v>8</v>
      </c>
      <c r="I75" s="1">
        <v>64</v>
      </c>
      <c r="J75" s="1">
        <v>61</v>
      </c>
      <c r="K75" s="1">
        <v>95.3125</v>
      </c>
      <c r="L75" s="1">
        <v>16</v>
      </c>
      <c r="M75" s="1">
        <v>25</v>
      </c>
      <c r="N75" s="1">
        <v>16</v>
      </c>
      <c r="O75" s="1">
        <v>25</v>
      </c>
      <c r="P75" s="1">
        <v>-8.991</v>
      </c>
      <c r="Q75" s="1">
        <f t="shared" si="2"/>
        <v>-143.856</v>
      </c>
      <c r="R75" s="1">
        <v>-9.0315</v>
      </c>
      <c r="S75" s="1">
        <v>-10.437</v>
      </c>
      <c r="T75" s="1">
        <v>-7.064</v>
      </c>
      <c r="U75" s="1">
        <v>-7.592125</v>
      </c>
      <c r="V75" s="1">
        <v>-7.6445</v>
      </c>
      <c r="W75" s="1">
        <v>-7.8303125</v>
      </c>
      <c r="X75" s="1">
        <v>-7.928</v>
      </c>
      <c r="Y75" s="1">
        <v>0.336099542111529</v>
      </c>
      <c r="Z75" s="1">
        <v>0.31404200216826</v>
      </c>
      <c r="AA75" s="1">
        <v>0.69672131147541</v>
      </c>
      <c r="AB75" s="1">
        <v>0.7</v>
      </c>
      <c r="AC75" s="1">
        <v>0.258046779452388</v>
      </c>
      <c r="AD75" s="1">
        <v>0.251974570459658</v>
      </c>
      <c r="AE75" s="1">
        <v>0.71901037735919</v>
      </c>
      <c r="AF75" s="1">
        <v>0.800760175611397</v>
      </c>
      <c r="AG75" s="1" t="s">
        <v>50</v>
      </c>
      <c r="AH75" s="1">
        <v>0.799777608925766</v>
      </c>
      <c r="AI75" s="1">
        <v>0.801324277954582</v>
      </c>
      <c r="AJ75" s="1" t="s">
        <v>50</v>
      </c>
      <c r="AK75" s="1">
        <v>0.814980559993416</v>
      </c>
      <c r="AL75" s="1">
        <v>0.80181053086409</v>
      </c>
      <c r="AM75" s="1">
        <v>0.327395699580084</v>
      </c>
      <c r="AN75" s="1">
        <v>0.594736318300568</v>
      </c>
      <c r="AO75" s="1">
        <v>73</v>
      </c>
    </row>
    <row r="76" s="1" customFormat="1" spans="1:41">
      <c r="A76" s="1" t="s">
        <v>313</v>
      </c>
      <c r="B76" s="1" t="s">
        <v>314</v>
      </c>
      <c r="C76" s="1">
        <v>803.486981</v>
      </c>
      <c r="D76" s="1" t="s">
        <v>315</v>
      </c>
      <c r="E76" s="1" t="s">
        <v>316</v>
      </c>
      <c r="F76" s="1" t="s">
        <v>45</v>
      </c>
      <c r="G76" s="1" t="s">
        <v>46</v>
      </c>
      <c r="H76" s="1">
        <v>8</v>
      </c>
      <c r="I76" s="1">
        <v>64</v>
      </c>
      <c r="J76" s="1">
        <v>63</v>
      </c>
      <c r="K76" s="1">
        <v>98.4375</v>
      </c>
      <c r="L76" s="1">
        <v>49</v>
      </c>
      <c r="M76" s="1">
        <v>76.5625</v>
      </c>
      <c r="N76" s="1">
        <v>49</v>
      </c>
      <c r="O76" s="1">
        <v>76.5625</v>
      </c>
      <c r="P76" s="1">
        <v>-8.10026530612245</v>
      </c>
      <c r="Q76" s="1">
        <f t="shared" si="2"/>
        <v>-396.913</v>
      </c>
      <c r="R76" s="1">
        <v>-8.105</v>
      </c>
      <c r="S76" s="1">
        <v>-11.182</v>
      </c>
      <c r="T76" s="1">
        <v>-5.086</v>
      </c>
      <c r="U76" s="1">
        <v>9.77022448979592</v>
      </c>
      <c r="V76" s="1">
        <v>-4.733</v>
      </c>
      <c r="W76" s="1">
        <v>-5.15459183673469</v>
      </c>
      <c r="X76" s="1">
        <v>-5.782</v>
      </c>
      <c r="Y76" s="1">
        <v>0.389919525988756</v>
      </c>
      <c r="Z76" s="1">
        <v>0.377798493161917</v>
      </c>
      <c r="AA76" s="1">
        <v>0.680634920634921</v>
      </c>
      <c r="AB76" s="1">
        <v>0.66</v>
      </c>
      <c r="AC76" s="1">
        <v>0.274680640723204</v>
      </c>
      <c r="AD76" s="1">
        <v>0.284491362382894</v>
      </c>
      <c r="AE76" s="1">
        <v>0.738539506212248</v>
      </c>
      <c r="AF76" s="1">
        <v>0.799561459087267</v>
      </c>
      <c r="AG76" s="1">
        <v>0.802947754768261</v>
      </c>
      <c r="AH76" s="1">
        <v>0.789883908761981</v>
      </c>
      <c r="AI76" s="1">
        <v>0.82058636498822</v>
      </c>
      <c r="AJ76" s="1">
        <v>0.824158637033399</v>
      </c>
      <c r="AK76" s="1">
        <v>0.812003967471267</v>
      </c>
      <c r="AL76" s="1">
        <v>0.818092842760349</v>
      </c>
      <c r="AM76" s="1">
        <v>0.321438112403712</v>
      </c>
      <c r="AN76" s="1">
        <v>0.606702694851897</v>
      </c>
      <c r="AO76" s="1">
        <v>74</v>
      </c>
    </row>
    <row r="77" s="1" customFormat="1" spans="1:41">
      <c r="A77" s="1" t="s">
        <v>317</v>
      </c>
      <c r="B77" s="1" t="s">
        <v>318</v>
      </c>
      <c r="C77" s="1">
        <v>1229.678888</v>
      </c>
      <c r="D77" s="1" t="s">
        <v>319</v>
      </c>
      <c r="E77" s="1" t="s">
        <v>320</v>
      </c>
      <c r="F77" s="1" t="s">
        <v>45</v>
      </c>
      <c r="G77" s="1" t="s">
        <v>46</v>
      </c>
      <c r="H77" s="1">
        <v>8</v>
      </c>
      <c r="I77" s="1">
        <v>64</v>
      </c>
      <c r="J77" s="1">
        <v>63</v>
      </c>
      <c r="K77" s="1">
        <v>98.4375</v>
      </c>
      <c r="L77" s="1">
        <v>47</v>
      </c>
      <c r="M77" s="1">
        <v>73.4375</v>
      </c>
      <c r="N77" s="1">
        <v>47</v>
      </c>
      <c r="O77" s="1">
        <v>73.4375</v>
      </c>
      <c r="P77" s="1">
        <v>-9.55402127659575</v>
      </c>
      <c r="Q77" s="1">
        <f t="shared" si="2"/>
        <v>-449.039</v>
      </c>
      <c r="R77" s="1">
        <v>-9.635</v>
      </c>
      <c r="S77" s="1">
        <v>-12.05</v>
      </c>
      <c r="T77" s="1">
        <v>-6.136</v>
      </c>
      <c r="U77" s="1">
        <v>-5.10482978723404</v>
      </c>
      <c r="V77" s="1">
        <v>-8.26</v>
      </c>
      <c r="W77" s="1">
        <v>-7.80589361702128</v>
      </c>
      <c r="X77" s="1">
        <v>-8.647</v>
      </c>
      <c r="Y77" s="1">
        <v>0.301039717339134</v>
      </c>
      <c r="Z77" s="1">
        <v>0.283318715008903</v>
      </c>
      <c r="AA77" s="1">
        <v>0.604444444444445</v>
      </c>
      <c r="AB77" s="1">
        <v>0.6</v>
      </c>
      <c r="AC77" s="1">
        <v>0.185871246144515</v>
      </c>
      <c r="AD77" s="1">
        <v>0.175602789812691</v>
      </c>
      <c r="AE77" s="1">
        <v>0.737614209304542</v>
      </c>
      <c r="AF77" s="1">
        <v>0.803610855612746</v>
      </c>
      <c r="AG77" s="1" t="s">
        <v>50</v>
      </c>
      <c r="AH77" s="1">
        <v>0.783569365749111</v>
      </c>
      <c r="AI77" s="1">
        <v>0.8170185830081</v>
      </c>
      <c r="AJ77" s="1">
        <v>0.793946290896059</v>
      </c>
      <c r="AK77" s="1">
        <v>0.808947992956094</v>
      </c>
      <c r="AL77" s="1">
        <v>0.813419591531317</v>
      </c>
      <c r="AM77" s="1">
        <v>0.291839651135847</v>
      </c>
      <c r="AN77" s="1">
        <v>0.607342441354915</v>
      </c>
      <c r="AO77" s="1">
        <v>75</v>
      </c>
    </row>
    <row r="78" s="1" customFormat="1" spans="1:41">
      <c r="A78" s="1" t="s">
        <v>321</v>
      </c>
      <c r="B78" s="1" t="s">
        <v>322</v>
      </c>
      <c r="C78" s="1">
        <v>891.305497</v>
      </c>
      <c r="D78" s="1" t="s">
        <v>323</v>
      </c>
      <c r="E78" s="1" t="s">
        <v>324</v>
      </c>
      <c r="F78" s="1" t="s">
        <v>45</v>
      </c>
      <c r="G78" s="1" t="s">
        <v>46</v>
      </c>
      <c r="H78" s="1">
        <v>8</v>
      </c>
      <c r="I78" s="1">
        <v>64</v>
      </c>
      <c r="J78" s="1">
        <v>64</v>
      </c>
      <c r="K78" s="1">
        <v>100</v>
      </c>
      <c r="L78" s="1">
        <v>30</v>
      </c>
      <c r="M78" s="1">
        <v>46.875</v>
      </c>
      <c r="N78" s="1">
        <v>30</v>
      </c>
      <c r="O78" s="1">
        <v>46.875</v>
      </c>
      <c r="P78" s="1">
        <v>-8.69443333333333</v>
      </c>
      <c r="Q78" s="1">
        <f t="shared" si="2"/>
        <v>-260.833</v>
      </c>
      <c r="R78" s="1">
        <v>-8.828</v>
      </c>
      <c r="S78" s="1">
        <v>-11.183</v>
      </c>
      <c r="T78" s="1">
        <v>-5.92</v>
      </c>
      <c r="U78" s="1">
        <v>-6.4781</v>
      </c>
      <c r="V78" s="1">
        <v>-6.4545</v>
      </c>
      <c r="W78" s="1">
        <v>-6.6491</v>
      </c>
      <c r="X78" s="1">
        <v>-6.5855</v>
      </c>
      <c r="Y78" s="1">
        <v>0.318414513377416</v>
      </c>
      <c r="Z78" s="1">
        <v>0.299304316432425</v>
      </c>
      <c r="AA78" s="1">
        <v>0.55484375</v>
      </c>
      <c r="AB78" s="1">
        <v>0.55</v>
      </c>
      <c r="AC78" s="1">
        <v>0.22480385441138</v>
      </c>
      <c r="AD78" s="1">
        <v>0.222878816169848</v>
      </c>
      <c r="AE78" s="1">
        <v>0.727612239840545</v>
      </c>
      <c r="AF78" s="1">
        <v>0.795842944020035</v>
      </c>
      <c r="AG78" s="1">
        <v>0.792911191033175</v>
      </c>
      <c r="AH78" s="1">
        <v>0.784495112004922</v>
      </c>
      <c r="AI78" s="1">
        <v>0.809289261217079</v>
      </c>
      <c r="AJ78" s="1">
        <v>0.80380593204524</v>
      </c>
      <c r="AK78" s="1">
        <v>0.803019779319081</v>
      </c>
      <c r="AL78" s="1">
        <v>0.817807809665991</v>
      </c>
      <c r="AM78" s="1">
        <v>0.28937838053501</v>
      </c>
      <c r="AN78" s="1">
        <v>0.600173908359009</v>
      </c>
      <c r="AO78" s="1">
        <v>76</v>
      </c>
    </row>
    <row r="79" s="1" customFormat="1" spans="1:41">
      <c r="A79" s="1" t="s">
        <v>325</v>
      </c>
      <c r="B79" s="1" t="s">
        <v>326</v>
      </c>
      <c r="C79" s="1">
        <v>359.445135</v>
      </c>
      <c r="D79" s="1" t="s">
        <v>327</v>
      </c>
      <c r="E79" s="1" t="s">
        <v>328</v>
      </c>
      <c r="F79" s="1" t="s">
        <v>45</v>
      </c>
      <c r="G79" s="1" t="s">
        <v>46</v>
      </c>
      <c r="H79" s="1">
        <v>8</v>
      </c>
      <c r="I79" s="1">
        <v>64</v>
      </c>
      <c r="J79" s="1">
        <v>63</v>
      </c>
      <c r="K79" s="1">
        <v>98.4375</v>
      </c>
      <c r="L79" s="1">
        <v>49</v>
      </c>
      <c r="M79" s="1">
        <v>76.5625</v>
      </c>
      <c r="N79" s="1">
        <v>49</v>
      </c>
      <c r="O79" s="1">
        <v>76.5625</v>
      </c>
      <c r="P79" s="1">
        <v>-5.72059183673469</v>
      </c>
      <c r="Q79" s="1">
        <f t="shared" si="2"/>
        <v>-280.309</v>
      </c>
      <c r="R79" s="1">
        <v>-5.458</v>
      </c>
      <c r="S79" s="1">
        <v>-8.631</v>
      </c>
      <c r="T79" s="1">
        <v>-4.749</v>
      </c>
      <c r="U79" s="1">
        <v>-3.68589795918367</v>
      </c>
      <c r="V79" s="1">
        <v>-3.577</v>
      </c>
      <c r="W79" s="1">
        <v>-4.30848979591837</v>
      </c>
      <c r="X79" s="1">
        <v>-4.126</v>
      </c>
      <c r="Y79" s="1">
        <v>0.492930798410004</v>
      </c>
      <c r="Z79" s="1">
        <v>0.556846082654624</v>
      </c>
      <c r="AA79" s="1">
        <v>0.702539682539683</v>
      </c>
      <c r="AB79" s="1">
        <v>0.71</v>
      </c>
      <c r="AC79" s="1">
        <v>0.216586429353469</v>
      </c>
      <c r="AD79" s="1">
        <v>0.24190614713048</v>
      </c>
      <c r="AE79" s="1">
        <v>0.781954193320988</v>
      </c>
      <c r="AF79" s="1">
        <v>0.807261499083822</v>
      </c>
      <c r="AG79" s="1">
        <v>0.808767664272664</v>
      </c>
      <c r="AH79" s="1">
        <v>0.811602230511794</v>
      </c>
      <c r="AI79" s="1">
        <v>0.805963305438738</v>
      </c>
      <c r="AJ79" s="1" t="s">
        <v>50</v>
      </c>
      <c r="AK79" s="1">
        <v>0.824168505005153</v>
      </c>
      <c r="AL79" s="1">
        <v>0.817791224477314</v>
      </c>
      <c r="AM79" s="1">
        <v>0.515321109072669</v>
      </c>
      <c r="AN79" s="1">
        <v>0.683568389762477</v>
      </c>
      <c r="AO79" s="1">
        <v>77</v>
      </c>
    </row>
    <row r="80" s="1" customFormat="1" spans="1:41">
      <c r="A80" s="1" t="s">
        <v>329</v>
      </c>
      <c r="B80" s="1" t="s">
        <v>330</v>
      </c>
      <c r="C80" s="1">
        <v>450.877283</v>
      </c>
      <c r="D80" s="1" t="s">
        <v>331</v>
      </c>
      <c r="E80" s="1" t="s">
        <v>332</v>
      </c>
      <c r="F80" s="1" t="s">
        <v>45</v>
      </c>
      <c r="G80" s="1" t="s">
        <v>46</v>
      </c>
      <c r="H80" s="1">
        <v>8</v>
      </c>
      <c r="I80" s="1">
        <v>64</v>
      </c>
      <c r="J80" s="1">
        <v>63</v>
      </c>
      <c r="K80" s="1">
        <v>98.4375</v>
      </c>
      <c r="L80" s="1">
        <v>33</v>
      </c>
      <c r="M80" s="1">
        <v>51.5625</v>
      </c>
      <c r="N80" s="1">
        <v>33</v>
      </c>
      <c r="O80" s="1">
        <v>51.5625</v>
      </c>
      <c r="P80" s="1">
        <v>-5.33590909090909</v>
      </c>
      <c r="Q80" s="1">
        <f t="shared" si="2"/>
        <v>-176.085</v>
      </c>
      <c r="R80" s="1">
        <v>-5.076</v>
      </c>
      <c r="S80" s="1">
        <v>-7.794</v>
      </c>
      <c r="T80" s="1">
        <v>-3.87</v>
      </c>
      <c r="U80" s="1">
        <v>-2.76560606060606</v>
      </c>
      <c r="V80" s="1">
        <v>-3.041</v>
      </c>
      <c r="W80" s="1">
        <v>-3.36866666666667</v>
      </c>
      <c r="X80" s="1">
        <v>-3.423</v>
      </c>
      <c r="Y80" s="1">
        <v>0.388550635179058</v>
      </c>
      <c r="Z80" s="1">
        <v>0.391102061538711</v>
      </c>
      <c r="AA80" s="1">
        <v>0.684920634920635</v>
      </c>
      <c r="AB80" s="1">
        <v>0.66</v>
      </c>
      <c r="AC80" s="1">
        <v>0.250011360981419</v>
      </c>
      <c r="AD80" s="1">
        <v>0.271971941264061</v>
      </c>
      <c r="AE80" s="1">
        <v>0.754516114058419</v>
      </c>
      <c r="AF80" s="1">
        <v>0.809551746932654</v>
      </c>
      <c r="AG80" s="1">
        <v>0.808480486187552</v>
      </c>
      <c r="AH80" s="1">
        <v>0.806250858564227</v>
      </c>
      <c r="AI80" s="1">
        <v>0.806081071252841</v>
      </c>
      <c r="AJ80" s="1">
        <v>0.829332885801986</v>
      </c>
      <c r="AK80" s="1">
        <v>0.819936951859314</v>
      </c>
      <c r="AL80" s="1">
        <v>0.828112363900808</v>
      </c>
      <c r="AM80" s="1">
        <v>0.408493847495121</v>
      </c>
      <c r="AN80" s="1">
        <v>0.655563676283964</v>
      </c>
      <c r="AO80" s="1">
        <v>78</v>
      </c>
    </row>
    <row r="81" s="1" customFormat="1" spans="1:41">
      <c r="A81" s="1" t="s">
        <v>333</v>
      </c>
      <c r="B81" s="1" t="s">
        <v>334</v>
      </c>
      <c r="C81" s="1">
        <v>1003.138176</v>
      </c>
      <c r="D81" s="1" t="s">
        <v>335</v>
      </c>
      <c r="E81" s="1" t="s">
        <v>336</v>
      </c>
      <c r="F81" s="1" t="s">
        <v>45</v>
      </c>
      <c r="G81" s="1" t="s">
        <v>46</v>
      </c>
      <c r="H81" s="1">
        <v>8</v>
      </c>
      <c r="I81" s="1">
        <v>64</v>
      </c>
      <c r="J81" s="1">
        <v>63</v>
      </c>
      <c r="K81" s="1">
        <v>98.4375</v>
      </c>
      <c r="L81" s="1">
        <v>36</v>
      </c>
      <c r="M81" s="1">
        <v>56.25</v>
      </c>
      <c r="N81" s="1">
        <v>36</v>
      </c>
      <c r="O81" s="1">
        <v>56.25</v>
      </c>
      <c r="P81" s="1">
        <v>-9.70825</v>
      </c>
      <c r="Q81" s="1">
        <f t="shared" si="2"/>
        <v>-349.497</v>
      </c>
      <c r="R81" s="1">
        <v>-9.611</v>
      </c>
      <c r="S81" s="1">
        <v>-13.892</v>
      </c>
      <c r="T81" s="1">
        <v>-7.325</v>
      </c>
      <c r="U81" s="1">
        <v>-7.29930555555555</v>
      </c>
      <c r="V81" s="1">
        <v>-7.142</v>
      </c>
      <c r="W81" s="1">
        <v>-7.46119444444444</v>
      </c>
      <c r="X81" s="1">
        <v>-7.049</v>
      </c>
      <c r="Y81" s="1">
        <v>0.225803346831184</v>
      </c>
      <c r="Z81" s="1">
        <v>0.192364422172927</v>
      </c>
      <c r="AA81" s="1">
        <v>0.576507936507937</v>
      </c>
      <c r="AB81" s="1">
        <v>0.57</v>
      </c>
      <c r="AC81" s="1">
        <v>0.218139109571587</v>
      </c>
      <c r="AD81" s="1">
        <v>0.232487548822533</v>
      </c>
      <c r="AE81" s="1">
        <v>0.727961428069603</v>
      </c>
      <c r="AF81" s="1">
        <v>0.789622162565458</v>
      </c>
      <c r="AG81" s="1">
        <v>0.825488332498127</v>
      </c>
      <c r="AH81" s="1">
        <v>0.790991676607729</v>
      </c>
      <c r="AI81" s="1">
        <v>0.810018350339243</v>
      </c>
      <c r="AJ81" s="1">
        <v>0.82587387436743</v>
      </c>
      <c r="AK81" s="1">
        <v>0.807582609252583</v>
      </c>
      <c r="AL81" s="1">
        <v>0.807236220246573</v>
      </c>
      <c r="AM81" s="1">
        <v>0.268670032778113</v>
      </c>
      <c r="AN81" s="1">
        <v>0.591552269384366</v>
      </c>
      <c r="AO81" s="1">
        <v>79</v>
      </c>
    </row>
    <row r="82" s="1" customFormat="1" spans="1:41">
      <c r="A82" s="1" t="s">
        <v>337</v>
      </c>
      <c r="B82" s="1" t="s">
        <v>338</v>
      </c>
      <c r="C82" s="1">
        <v>1875.031659</v>
      </c>
      <c r="D82" s="1" t="s">
        <v>339</v>
      </c>
      <c r="E82" s="1" t="s">
        <v>340</v>
      </c>
      <c r="F82" s="1" t="s">
        <v>45</v>
      </c>
      <c r="G82" s="1" t="s">
        <v>46</v>
      </c>
      <c r="H82" s="1">
        <v>8</v>
      </c>
      <c r="I82" s="1">
        <v>64</v>
      </c>
      <c r="J82" s="1">
        <v>64</v>
      </c>
      <c r="K82" s="1">
        <v>100</v>
      </c>
      <c r="L82" s="1">
        <v>46</v>
      </c>
      <c r="M82" s="1">
        <v>71.875</v>
      </c>
      <c r="N82" s="1">
        <v>46</v>
      </c>
      <c r="O82" s="1">
        <v>71.875</v>
      </c>
      <c r="P82" s="1">
        <v>-10.9355217391304</v>
      </c>
      <c r="Q82" s="1">
        <f t="shared" si="2"/>
        <v>-503.033999999998</v>
      </c>
      <c r="R82" s="1">
        <v>-10.777</v>
      </c>
      <c r="S82" s="1">
        <v>-16.241</v>
      </c>
      <c r="T82" s="1">
        <v>-8.138</v>
      </c>
      <c r="U82" s="1">
        <v>-9.75319565217391</v>
      </c>
      <c r="V82" s="1">
        <v>-9.958</v>
      </c>
      <c r="W82" s="1">
        <v>-9.864</v>
      </c>
      <c r="X82" s="1">
        <v>-10.0785</v>
      </c>
      <c r="Y82" s="1">
        <v>0.106833836947589</v>
      </c>
      <c r="Z82" s="1">
        <v>0.0891039051786894</v>
      </c>
      <c r="AA82" s="1">
        <v>0.51890625</v>
      </c>
      <c r="AB82" s="1">
        <v>0.515</v>
      </c>
      <c r="AC82" s="1">
        <v>0.206949157021534</v>
      </c>
      <c r="AD82" s="1">
        <v>0.195816502639909</v>
      </c>
      <c r="AE82" s="1">
        <v>0.707550481852009</v>
      </c>
      <c r="AF82" s="1">
        <v>0.789410378863377</v>
      </c>
      <c r="AG82" s="1">
        <v>0.773377029371498</v>
      </c>
      <c r="AH82" s="1">
        <v>0.774237530674878</v>
      </c>
      <c r="AI82" s="1">
        <v>0.810113801476917</v>
      </c>
      <c r="AJ82" s="1">
        <v>0.783862983685825</v>
      </c>
      <c r="AK82" s="1">
        <v>0.809118912947799</v>
      </c>
      <c r="AL82" s="1">
        <v>0.811024779929597</v>
      </c>
      <c r="AM82" s="1">
        <v>0.256656141898294</v>
      </c>
      <c r="AN82" s="1">
        <v>0.566377191823163</v>
      </c>
      <c r="AO82" s="1">
        <v>80</v>
      </c>
    </row>
    <row r="83" s="1" customFormat="1" spans="1:41">
      <c r="A83" s="1" t="s">
        <v>341</v>
      </c>
      <c r="B83" s="1" t="s">
        <v>342</v>
      </c>
      <c r="C83" s="1">
        <v>2036.572789</v>
      </c>
      <c r="D83" s="1" t="s">
        <v>343</v>
      </c>
      <c r="E83" s="1" t="s">
        <v>344</v>
      </c>
      <c r="F83" s="1" t="s">
        <v>45</v>
      </c>
      <c r="G83" s="1" t="s">
        <v>46</v>
      </c>
      <c r="H83" s="1">
        <v>8</v>
      </c>
      <c r="I83" s="1">
        <v>64</v>
      </c>
      <c r="J83" s="1">
        <v>61</v>
      </c>
      <c r="K83" s="1">
        <v>95.3125</v>
      </c>
      <c r="L83" s="1">
        <v>42</v>
      </c>
      <c r="M83" s="1">
        <v>65.625</v>
      </c>
      <c r="N83" s="1">
        <v>42</v>
      </c>
      <c r="O83" s="1">
        <v>65.625</v>
      </c>
      <c r="P83" s="1">
        <v>-10.2939761904762</v>
      </c>
      <c r="Q83" s="1">
        <f t="shared" si="2"/>
        <v>-432.347</v>
      </c>
      <c r="R83" s="1">
        <v>-9.887</v>
      </c>
      <c r="S83" s="1">
        <v>-15.609</v>
      </c>
      <c r="T83" s="1">
        <v>-7.723</v>
      </c>
      <c r="U83" s="1">
        <v>-8.29909523809524</v>
      </c>
      <c r="V83" s="1">
        <v>-8.156</v>
      </c>
      <c r="W83" s="1">
        <v>-8.54359523809524</v>
      </c>
      <c r="X83" s="1">
        <v>-8.3665</v>
      </c>
      <c r="Y83" s="1">
        <v>0.0928981925301617</v>
      </c>
      <c r="Z83" s="1">
        <v>0.0775835375885994</v>
      </c>
      <c r="AA83" s="1">
        <v>0.534590163934426</v>
      </c>
      <c r="AB83" s="1">
        <v>0.52</v>
      </c>
      <c r="AC83" s="1">
        <v>0.197877508337569</v>
      </c>
      <c r="AD83" s="1">
        <v>0.192516426467661</v>
      </c>
      <c r="AE83" s="1">
        <v>0.700055266409567</v>
      </c>
      <c r="AF83" s="1">
        <v>0.780928960265208</v>
      </c>
      <c r="AG83" s="1">
        <v>0.806330150274232</v>
      </c>
      <c r="AH83" s="1">
        <v>0.789321747929873</v>
      </c>
      <c r="AI83" s="1">
        <v>0.81504723372005</v>
      </c>
      <c r="AJ83" s="1">
        <v>0.802541116830186</v>
      </c>
      <c r="AK83" s="1">
        <v>0.815514086825429</v>
      </c>
      <c r="AL83" s="1">
        <v>0.806699383839854</v>
      </c>
      <c r="AM83" s="1">
        <v>0.262640559987271</v>
      </c>
      <c r="AN83" s="1">
        <v>0.568516299722197</v>
      </c>
      <c r="AO83" s="1">
        <v>81</v>
      </c>
    </row>
    <row r="84" s="1" customFormat="1" spans="1:41">
      <c r="A84" s="1" t="s">
        <v>341</v>
      </c>
      <c r="B84" s="1" t="s">
        <v>345</v>
      </c>
      <c r="C84" s="1">
        <v>954.594216</v>
      </c>
      <c r="D84" s="1" t="s">
        <v>346</v>
      </c>
      <c r="E84" s="1" t="s">
        <v>347</v>
      </c>
      <c r="F84" s="1" t="s">
        <v>45</v>
      </c>
      <c r="G84" s="1" t="s">
        <v>46</v>
      </c>
      <c r="H84" s="1">
        <v>8</v>
      </c>
      <c r="I84" s="1">
        <v>64</v>
      </c>
      <c r="J84" s="1">
        <v>63</v>
      </c>
      <c r="K84" s="1">
        <v>98.4375</v>
      </c>
      <c r="L84" s="1">
        <v>40</v>
      </c>
      <c r="M84" s="1">
        <v>62.5</v>
      </c>
      <c r="N84" s="1">
        <v>40</v>
      </c>
      <c r="O84" s="1">
        <v>62.5</v>
      </c>
      <c r="P84" s="1">
        <v>-7.724</v>
      </c>
      <c r="Q84" s="1">
        <f t="shared" si="2"/>
        <v>-308.96</v>
      </c>
      <c r="R84" s="1">
        <v>-7.657</v>
      </c>
      <c r="S84" s="1">
        <v>-9.885</v>
      </c>
      <c r="T84" s="1">
        <v>-6.443</v>
      </c>
      <c r="U84" s="1">
        <v>-5.8778</v>
      </c>
      <c r="V84" s="1">
        <v>-5.9485</v>
      </c>
      <c r="W84" s="1">
        <v>-6.3254</v>
      </c>
      <c r="X84" s="1">
        <v>-6.3885</v>
      </c>
      <c r="Y84" s="1">
        <v>0.325771352973789</v>
      </c>
      <c r="Z84" s="1">
        <v>0.3296821010582</v>
      </c>
      <c r="AA84" s="1">
        <v>0.636349206349207</v>
      </c>
      <c r="AB84" s="1">
        <v>0.62</v>
      </c>
      <c r="AC84" s="1">
        <v>0.186416649896097</v>
      </c>
      <c r="AD84" s="1">
        <v>0.170866150512371</v>
      </c>
      <c r="AE84" s="1">
        <v>0.747679821217439</v>
      </c>
      <c r="AF84" s="1">
        <v>0.801231359717861</v>
      </c>
      <c r="AG84" s="1">
        <v>0.805622438965735</v>
      </c>
      <c r="AH84" s="1">
        <v>0.803319422132164</v>
      </c>
      <c r="AI84" s="1">
        <v>0.822608667267254</v>
      </c>
      <c r="AJ84" s="1">
        <v>0.802648099311424</v>
      </c>
      <c r="AK84" s="1">
        <v>0.80225741506638</v>
      </c>
      <c r="AL84" s="1">
        <v>0.817625792321325</v>
      </c>
      <c r="AM84" s="1">
        <v>0.31267923312315</v>
      </c>
      <c r="AN84" s="1">
        <v>0.632571094065952</v>
      </c>
      <c r="AO84" s="1">
        <v>82</v>
      </c>
    </row>
    <row r="85" s="1" customFormat="1" spans="1:41">
      <c r="A85" s="1" t="s">
        <v>348</v>
      </c>
      <c r="B85" s="1" t="s">
        <v>349</v>
      </c>
      <c r="C85" s="1">
        <v>1991.047276</v>
      </c>
      <c r="D85" s="1" t="s">
        <v>350</v>
      </c>
      <c r="E85" s="1" t="s">
        <v>351</v>
      </c>
      <c r="F85" s="1" t="s">
        <v>45</v>
      </c>
      <c r="G85" s="1" t="s">
        <v>46</v>
      </c>
      <c r="H85" s="1">
        <v>8</v>
      </c>
      <c r="I85" s="1">
        <v>64</v>
      </c>
      <c r="J85" s="1">
        <v>62</v>
      </c>
      <c r="K85" s="1">
        <v>96.875</v>
      </c>
      <c r="L85" s="1">
        <v>34</v>
      </c>
      <c r="M85" s="1">
        <v>53.125</v>
      </c>
      <c r="N85" s="1">
        <v>34</v>
      </c>
      <c r="O85" s="1">
        <v>53.125</v>
      </c>
      <c r="P85" s="1">
        <v>-8.24885294117647</v>
      </c>
      <c r="Q85" s="1">
        <f t="shared" si="2"/>
        <v>-280.461</v>
      </c>
      <c r="R85" s="1">
        <v>-7.843</v>
      </c>
      <c r="S85" s="1">
        <v>-11.24</v>
      </c>
      <c r="T85" s="1">
        <v>-6.61</v>
      </c>
      <c r="U85" s="1">
        <v>-6.321</v>
      </c>
      <c r="V85" s="1">
        <v>-6.1795</v>
      </c>
      <c r="W85" s="1">
        <v>-6.52808823529412</v>
      </c>
      <c r="X85" s="1">
        <v>-6.2525</v>
      </c>
      <c r="Y85" s="1">
        <v>0.102654760628323</v>
      </c>
      <c r="Z85" s="1">
        <v>0.0796736075831938</v>
      </c>
      <c r="AA85" s="1">
        <v>0.579516129032258</v>
      </c>
      <c r="AB85" s="1">
        <v>0.58</v>
      </c>
      <c r="AC85" s="1">
        <v>0.178352101421965</v>
      </c>
      <c r="AD85" s="1">
        <v>0.16580011840628</v>
      </c>
      <c r="AE85" s="1">
        <v>0.702503746908377</v>
      </c>
      <c r="AF85" s="1">
        <v>0.788489355963453</v>
      </c>
      <c r="AG85" s="1">
        <v>0.780147723438613</v>
      </c>
      <c r="AH85" s="1">
        <v>0.777153151197875</v>
      </c>
      <c r="AI85" s="1">
        <v>0.816482439918128</v>
      </c>
      <c r="AJ85" s="1">
        <v>0.809230392298937</v>
      </c>
      <c r="AK85" s="1">
        <v>0.805139760774011</v>
      </c>
      <c r="AL85" s="1">
        <v>0.796603680260781</v>
      </c>
      <c r="AM85" s="1">
        <v>0.28922591360998</v>
      </c>
      <c r="AN85" s="1">
        <v>0.556798816524158</v>
      </c>
      <c r="AO85" s="1">
        <v>83</v>
      </c>
    </row>
    <row r="86" s="1" customFormat="1" spans="1:41">
      <c r="A86" s="1" t="s">
        <v>352</v>
      </c>
      <c r="B86" s="1" t="s">
        <v>353</v>
      </c>
      <c r="C86" s="1">
        <v>518.57328</v>
      </c>
      <c r="D86" s="1" t="s">
        <v>354</v>
      </c>
      <c r="E86" s="1" t="s">
        <v>355</v>
      </c>
      <c r="F86" s="1" t="s">
        <v>45</v>
      </c>
      <c r="G86" s="1" t="s">
        <v>46</v>
      </c>
      <c r="H86" s="1">
        <v>8</v>
      </c>
      <c r="I86" s="1">
        <v>64</v>
      </c>
      <c r="J86" s="1">
        <v>63</v>
      </c>
      <c r="K86" s="1">
        <v>98.4375</v>
      </c>
      <c r="L86" s="1">
        <v>30</v>
      </c>
      <c r="M86" s="1">
        <v>46.875</v>
      </c>
      <c r="N86" s="1">
        <v>30</v>
      </c>
      <c r="O86" s="1">
        <v>46.875</v>
      </c>
      <c r="P86" s="1">
        <v>-7.5163</v>
      </c>
      <c r="Q86" s="1">
        <f t="shared" si="2"/>
        <v>-225.489</v>
      </c>
      <c r="R86" s="1">
        <v>-7.535</v>
      </c>
      <c r="S86" s="1">
        <v>-9.683</v>
      </c>
      <c r="T86" s="1">
        <v>-4.914</v>
      </c>
      <c r="U86" s="1">
        <v>-5.0943</v>
      </c>
      <c r="V86" s="1">
        <v>-4.9735</v>
      </c>
      <c r="W86" s="1">
        <v>-5.57896666666667</v>
      </c>
      <c r="X86" s="1">
        <v>-5.538</v>
      </c>
      <c r="Y86" s="1">
        <v>0.34380942064937</v>
      </c>
      <c r="Z86" s="1">
        <v>0.300657920695461</v>
      </c>
      <c r="AA86" s="1">
        <v>0.624126984126984</v>
      </c>
      <c r="AB86" s="1">
        <v>0.6</v>
      </c>
      <c r="AC86" s="1">
        <v>0.177340133718017</v>
      </c>
      <c r="AD86" s="1">
        <v>0.165961435196488</v>
      </c>
      <c r="AE86" s="1">
        <v>0.75143130037333</v>
      </c>
      <c r="AF86" s="1">
        <v>0.806291690950911</v>
      </c>
      <c r="AG86" s="1">
        <v>0.832184096242654</v>
      </c>
      <c r="AH86" s="1">
        <v>0.786937947697488</v>
      </c>
      <c r="AI86" s="1">
        <v>0.811980188518746</v>
      </c>
      <c r="AJ86" s="1">
        <v>0.793884211849567</v>
      </c>
      <c r="AK86" s="1">
        <v>0.816729167785004</v>
      </c>
      <c r="AL86" s="1">
        <v>0.788447918084894</v>
      </c>
      <c r="AM86" s="1">
        <v>0.347939133293327</v>
      </c>
      <c r="AN86" s="1">
        <v>0.650439534607592</v>
      </c>
      <c r="AO86" s="1">
        <v>84</v>
      </c>
    </row>
    <row r="87" s="1" customFormat="1" spans="1:41">
      <c r="A87" s="1" t="s">
        <v>352</v>
      </c>
      <c r="B87" s="1" t="s">
        <v>356</v>
      </c>
      <c r="C87" s="1">
        <v>1240.434399</v>
      </c>
      <c r="D87" s="1" t="s">
        <v>357</v>
      </c>
      <c r="E87" s="1" t="s">
        <v>358</v>
      </c>
      <c r="F87" s="1" t="s">
        <v>45</v>
      </c>
      <c r="G87" s="1" t="s">
        <v>46</v>
      </c>
      <c r="H87" s="1">
        <v>8</v>
      </c>
      <c r="I87" s="1">
        <v>64</v>
      </c>
      <c r="J87" s="1">
        <v>63</v>
      </c>
      <c r="K87" s="1">
        <v>98.4375</v>
      </c>
      <c r="L87" s="1">
        <v>54</v>
      </c>
      <c r="M87" s="1">
        <v>84.375</v>
      </c>
      <c r="N87" s="1">
        <v>54</v>
      </c>
      <c r="O87" s="1">
        <v>84.375</v>
      </c>
      <c r="P87" s="1">
        <v>-10.2104444444444</v>
      </c>
      <c r="Q87" s="1">
        <f t="shared" si="2"/>
        <v>-551.363999999998</v>
      </c>
      <c r="R87" s="1">
        <v>-9.2575</v>
      </c>
      <c r="S87" s="1">
        <v>-15.763</v>
      </c>
      <c r="T87" s="1">
        <v>-7.511</v>
      </c>
      <c r="U87" s="1">
        <v>-8.82931481481482</v>
      </c>
      <c r="V87" s="1">
        <v>-8.326</v>
      </c>
      <c r="W87" s="1">
        <v>-9.57246296296296</v>
      </c>
      <c r="X87" s="1">
        <v>-8.4925</v>
      </c>
      <c r="Y87" s="1">
        <v>0.215505280711544</v>
      </c>
      <c r="Z87" s="1">
        <v>0.210179781884859</v>
      </c>
      <c r="AA87" s="1">
        <v>0.545714285714286</v>
      </c>
      <c r="AB87" s="1">
        <v>0.56</v>
      </c>
      <c r="AC87" s="1">
        <v>0.207503921997708</v>
      </c>
      <c r="AD87" s="1">
        <v>0.207846699890142</v>
      </c>
      <c r="AE87" s="1">
        <v>0.731076120521534</v>
      </c>
      <c r="AF87" s="1">
        <v>0.798181070651344</v>
      </c>
      <c r="AG87" s="1">
        <v>0.818597014018322</v>
      </c>
      <c r="AH87" s="1">
        <v>0.781152319757612</v>
      </c>
      <c r="AI87" s="1">
        <v>0.812152776644967</v>
      </c>
      <c r="AJ87" s="1">
        <v>0.795445785271015</v>
      </c>
      <c r="AK87" s="1">
        <v>0.810024730460176</v>
      </c>
      <c r="AL87" s="1">
        <v>0.814771997558616</v>
      </c>
      <c r="AM87" s="1">
        <v>0.253149290613722</v>
      </c>
      <c r="AN87" s="1">
        <v>0.608548748320249</v>
      </c>
      <c r="AO87" s="1">
        <v>85</v>
      </c>
    </row>
    <row r="88" s="1" customFormat="1" spans="1:41">
      <c r="A88" s="1" t="s">
        <v>359</v>
      </c>
      <c r="B88" s="1" t="s">
        <v>360</v>
      </c>
      <c r="C88" s="1">
        <v>694.778774</v>
      </c>
      <c r="D88" s="1" t="s">
        <v>361</v>
      </c>
      <c r="E88" s="1" t="s">
        <v>362</v>
      </c>
      <c r="F88" s="1" t="s">
        <v>45</v>
      </c>
      <c r="G88" s="1" t="s">
        <v>46</v>
      </c>
      <c r="H88" s="1">
        <v>8</v>
      </c>
      <c r="I88" s="1">
        <v>64</v>
      </c>
      <c r="J88" s="1">
        <v>64</v>
      </c>
      <c r="K88" s="1">
        <v>100</v>
      </c>
      <c r="L88" s="1">
        <v>35</v>
      </c>
      <c r="M88" s="1">
        <v>54.6875</v>
      </c>
      <c r="N88" s="1">
        <v>35</v>
      </c>
      <c r="O88" s="1">
        <v>54.6875</v>
      </c>
      <c r="P88" s="1">
        <v>-8.16882857142857</v>
      </c>
      <c r="Q88" s="1">
        <f t="shared" si="2"/>
        <v>-285.909</v>
      </c>
      <c r="R88" s="1">
        <v>-8.24</v>
      </c>
      <c r="S88" s="1">
        <v>-10.687</v>
      </c>
      <c r="T88" s="1">
        <v>-5.758</v>
      </c>
      <c r="U88" s="1">
        <v>-6.56502857142857</v>
      </c>
      <c r="V88" s="1">
        <v>-6.618</v>
      </c>
      <c r="W88" s="1">
        <v>-6.81545714285714</v>
      </c>
      <c r="X88" s="1">
        <v>-6.898</v>
      </c>
      <c r="Y88" s="1">
        <v>0.339396566384874</v>
      </c>
      <c r="Z88" s="1">
        <v>0.322496019490447</v>
      </c>
      <c r="AA88" s="1">
        <v>0.66265625</v>
      </c>
      <c r="AB88" s="1">
        <v>0.66</v>
      </c>
      <c r="AC88" s="1">
        <v>0.268474219033936</v>
      </c>
      <c r="AD88" s="1">
        <v>0.270259289929455</v>
      </c>
      <c r="AE88" s="1">
        <v>0.747270997906417</v>
      </c>
      <c r="AF88" s="1">
        <v>0.800594230606491</v>
      </c>
      <c r="AG88" s="1" t="s">
        <v>50</v>
      </c>
      <c r="AH88" s="1">
        <v>0.792884946892502</v>
      </c>
      <c r="AI88" s="1">
        <v>0.817794687694398</v>
      </c>
      <c r="AJ88" s="1" t="s">
        <v>50</v>
      </c>
      <c r="AK88" s="1">
        <v>0.811343013988165</v>
      </c>
      <c r="AL88" s="1">
        <v>0.795833536186375</v>
      </c>
      <c r="AM88" s="1">
        <v>0.329075503712745</v>
      </c>
      <c r="AN88" s="1">
        <v>0.625350622075952</v>
      </c>
      <c r="AO88" s="1">
        <v>86</v>
      </c>
    </row>
    <row r="89" s="1" customFormat="1" spans="1:41">
      <c r="A89" s="1" t="s">
        <v>363</v>
      </c>
      <c r="B89" s="1" t="s">
        <v>364</v>
      </c>
      <c r="C89" s="1">
        <v>649.282991</v>
      </c>
      <c r="D89" s="1" t="s">
        <v>365</v>
      </c>
      <c r="E89" s="1" t="s">
        <v>366</v>
      </c>
      <c r="F89" s="1" t="s">
        <v>45</v>
      </c>
      <c r="G89" s="1" t="s">
        <v>46</v>
      </c>
      <c r="H89" s="1">
        <v>8</v>
      </c>
      <c r="I89" s="1">
        <v>64</v>
      </c>
      <c r="J89" s="1">
        <v>64</v>
      </c>
      <c r="K89" s="1">
        <v>100</v>
      </c>
      <c r="L89" s="1">
        <v>63</v>
      </c>
      <c r="M89" s="1">
        <v>98.4375</v>
      </c>
      <c r="N89" s="1">
        <v>63</v>
      </c>
      <c r="O89" s="1">
        <v>98.4375</v>
      </c>
      <c r="P89" s="1">
        <v>-6.38304761904762</v>
      </c>
      <c r="Q89" s="1">
        <f t="shared" si="2"/>
        <v>-402.132</v>
      </c>
      <c r="R89" s="1">
        <v>-6.012</v>
      </c>
      <c r="S89" s="1">
        <v>-9.665</v>
      </c>
      <c r="T89" s="1">
        <v>-4.214</v>
      </c>
      <c r="U89" s="1">
        <v>-2.22477777777778</v>
      </c>
      <c r="V89" s="1">
        <v>-4.386</v>
      </c>
      <c r="W89" s="1">
        <v>-4.24679365079365</v>
      </c>
      <c r="X89" s="1">
        <v>-4.787</v>
      </c>
      <c r="Y89" s="1">
        <v>0.433008130805762</v>
      </c>
      <c r="Z89" s="1">
        <v>0.478051409141593</v>
      </c>
      <c r="AA89" s="1">
        <v>0.61109375</v>
      </c>
      <c r="AB89" s="1">
        <v>0.62</v>
      </c>
      <c r="AC89" s="1">
        <v>0.280433599408244</v>
      </c>
      <c r="AD89" s="1">
        <v>0.306924443783393</v>
      </c>
      <c r="AE89" s="1">
        <v>0.778919045226294</v>
      </c>
      <c r="AF89" s="1">
        <v>0.809900601436878</v>
      </c>
      <c r="AG89" s="1">
        <v>0.814083129321529</v>
      </c>
      <c r="AH89" s="1">
        <v>0.789425095654962</v>
      </c>
      <c r="AI89" s="1">
        <v>0.811292787865655</v>
      </c>
      <c r="AJ89" s="1">
        <v>0.781720020139031</v>
      </c>
      <c r="AK89" s="1">
        <v>0.794094832892233</v>
      </c>
      <c r="AL89" s="1">
        <v>0.798986685927326</v>
      </c>
      <c r="AM89" s="1">
        <v>0.486061116172679</v>
      </c>
      <c r="AN89" s="1">
        <v>0.672998794873678</v>
      </c>
      <c r="AO89" s="1">
        <v>87</v>
      </c>
    </row>
    <row r="90" s="1" customFormat="1" spans="1:41">
      <c r="A90" s="1" t="s">
        <v>367</v>
      </c>
      <c r="B90" s="1" t="s">
        <v>368</v>
      </c>
      <c r="C90" s="1">
        <v>864.765692</v>
      </c>
      <c r="D90" s="1" t="s">
        <v>369</v>
      </c>
      <c r="E90" s="1" t="s">
        <v>370</v>
      </c>
      <c r="F90" s="1" t="s">
        <v>45</v>
      </c>
      <c r="G90" s="1" t="s">
        <v>46</v>
      </c>
      <c r="H90" s="1">
        <v>8</v>
      </c>
      <c r="I90" s="1">
        <v>64</v>
      </c>
      <c r="J90" s="1">
        <v>64</v>
      </c>
      <c r="K90" s="1">
        <v>100</v>
      </c>
      <c r="L90" s="1">
        <v>52</v>
      </c>
      <c r="M90" s="1">
        <v>81.25</v>
      </c>
      <c r="N90" s="1">
        <v>52</v>
      </c>
      <c r="O90" s="1">
        <v>81.25</v>
      </c>
      <c r="P90" s="1">
        <v>-7.42053846153846</v>
      </c>
      <c r="Q90" s="1">
        <f t="shared" si="2"/>
        <v>-385.868</v>
      </c>
      <c r="R90" s="1">
        <v>-7.4995</v>
      </c>
      <c r="S90" s="1">
        <v>-10.047</v>
      </c>
      <c r="T90" s="1">
        <v>-4.903</v>
      </c>
      <c r="U90" s="1">
        <v>-4.73261538461538</v>
      </c>
      <c r="V90" s="1">
        <v>-4.858</v>
      </c>
      <c r="W90" s="1">
        <v>-5.37728846153846</v>
      </c>
      <c r="X90" s="1">
        <v>-5.4055</v>
      </c>
      <c r="Y90" s="1">
        <v>0.323021235346803</v>
      </c>
      <c r="Z90" s="1">
        <v>0.301744113319667</v>
      </c>
      <c r="AA90" s="1">
        <v>0.6390625</v>
      </c>
      <c r="AB90" s="1">
        <v>0.635</v>
      </c>
      <c r="AC90" s="1">
        <v>0.187864899673068</v>
      </c>
      <c r="AD90" s="1">
        <v>0.185154892695761</v>
      </c>
      <c r="AE90" s="1">
        <v>0.750453623974696</v>
      </c>
      <c r="AF90" s="1">
        <v>0.800980189460712</v>
      </c>
      <c r="AG90" s="1">
        <v>0.8070159720035</v>
      </c>
      <c r="AH90" s="1">
        <v>0.789672455791433</v>
      </c>
      <c r="AI90" s="1">
        <v>0.805202156138946</v>
      </c>
      <c r="AJ90" s="1">
        <v>0.796827508490737</v>
      </c>
      <c r="AK90" s="1">
        <v>0.812930908075585</v>
      </c>
      <c r="AL90" s="1">
        <v>0.815066729066791</v>
      </c>
      <c r="AM90" s="1">
        <v>0.327365130548014</v>
      </c>
      <c r="AN90" s="1">
        <v>0.639673559537163</v>
      </c>
      <c r="AO90" s="1">
        <v>88</v>
      </c>
    </row>
    <row r="91" s="1" customFormat="1" spans="1:41">
      <c r="A91" s="1" t="s">
        <v>371</v>
      </c>
      <c r="B91" s="1" t="s">
        <v>372</v>
      </c>
      <c r="C91" s="1">
        <v>628.555174</v>
      </c>
      <c r="D91" s="1" t="s">
        <v>373</v>
      </c>
      <c r="E91" s="1" t="s">
        <v>374</v>
      </c>
      <c r="F91" s="1" t="s">
        <v>45</v>
      </c>
      <c r="G91" s="1" t="s">
        <v>46</v>
      </c>
      <c r="H91" s="1">
        <v>8</v>
      </c>
      <c r="I91" s="1">
        <v>64</v>
      </c>
      <c r="J91" s="1">
        <v>63</v>
      </c>
      <c r="K91" s="1">
        <v>98.4375</v>
      </c>
      <c r="L91" s="1">
        <v>40</v>
      </c>
      <c r="M91" s="1">
        <v>62.5</v>
      </c>
      <c r="N91" s="1">
        <v>40</v>
      </c>
      <c r="O91" s="1">
        <v>62.5</v>
      </c>
      <c r="P91" s="1">
        <v>-8.06505</v>
      </c>
      <c r="Q91" s="1">
        <f t="shared" si="2"/>
        <v>-322.602</v>
      </c>
      <c r="R91" s="1">
        <v>-8.0895</v>
      </c>
      <c r="S91" s="1">
        <v>-12.921</v>
      </c>
      <c r="T91" s="1">
        <v>-5.017</v>
      </c>
      <c r="U91" s="1">
        <v>3.19395</v>
      </c>
      <c r="V91" s="1">
        <v>-3.7615</v>
      </c>
      <c r="W91" s="1">
        <v>-3.932225</v>
      </c>
      <c r="X91" s="1">
        <v>-5.7285</v>
      </c>
      <c r="Y91" s="1">
        <v>0.397453865630506</v>
      </c>
      <c r="Z91" s="1">
        <v>0.313141776644892</v>
      </c>
      <c r="AA91" s="1">
        <v>0.595873015873016</v>
      </c>
      <c r="AB91" s="1">
        <v>0.6</v>
      </c>
      <c r="AC91" s="1">
        <v>0.258990858723467</v>
      </c>
      <c r="AD91" s="1">
        <v>0.283503703951276</v>
      </c>
      <c r="AE91" s="1">
        <v>0.749867363281506</v>
      </c>
      <c r="AF91" s="1">
        <v>0.795707407770973</v>
      </c>
      <c r="AG91" s="1">
        <v>0.816685543496893</v>
      </c>
      <c r="AH91" s="1">
        <v>0.808460585763288</v>
      </c>
      <c r="AI91" s="1">
        <v>0.819654180240351</v>
      </c>
      <c r="AJ91" s="1">
        <v>0.731787173158127</v>
      </c>
      <c r="AK91" s="1">
        <v>0.812983341206414</v>
      </c>
      <c r="AL91" s="1">
        <v>0.819813562911031</v>
      </c>
      <c r="AM91" s="1">
        <v>0.33078651263339</v>
      </c>
      <c r="AN91" s="1">
        <v>0.640821478452428</v>
      </c>
      <c r="AO91" s="1">
        <v>89</v>
      </c>
    </row>
    <row r="92" s="1" customFormat="1" spans="1:41">
      <c r="A92" s="1" t="s">
        <v>375</v>
      </c>
      <c r="B92" s="1" t="s">
        <v>376</v>
      </c>
      <c r="C92" s="1">
        <v>431.355454</v>
      </c>
      <c r="D92" s="1" t="s">
        <v>377</v>
      </c>
      <c r="E92" s="1" t="s">
        <v>378</v>
      </c>
      <c r="F92" s="1" t="s">
        <v>45</v>
      </c>
      <c r="G92" s="1" t="s">
        <v>46</v>
      </c>
      <c r="H92" s="1">
        <v>8</v>
      </c>
      <c r="I92" s="1">
        <v>64</v>
      </c>
      <c r="J92" s="1">
        <v>62</v>
      </c>
      <c r="K92" s="1">
        <v>96.875</v>
      </c>
      <c r="L92" s="1">
        <v>50</v>
      </c>
      <c r="M92" s="1">
        <v>78.125</v>
      </c>
      <c r="N92" s="1">
        <v>50</v>
      </c>
      <c r="O92" s="1">
        <v>78.125</v>
      </c>
      <c r="P92" s="1">
        <v>-4.41204</v>
      </c>
      <c r="Q92" s="1">
        <f t="shared" si="2"/>
        <v>-220.602</v>
      </c>
      <c r="R92" s="1">
        <v>-4.276</v>
      </c>
      <c r="S92" s="1">
        <v>-6.382</v>
      </c>
      <c r="T92" s="1">
        <v>-3.73</v>
      </c>
      <c r="U92" s="1">
        <v>-1.77302</v>
      </c>
      <c r="V92" s="1">
        <v>-1.7955</v>
      </c>
      <c r="W92" s="1">
        <v>-2.04126</v>
      </c>
      <c r="X92" s="1">
        <v>-1.951</v>
      </c>
      <c r="Y92" s="1">
        <v>0.469079816282108</v>
      </c>
      <c r="Z92" s="1">
        <v>0.474050632325411</v>
      </c>
      <c r="AA92" s="1">
        <v>0.769344262295082</v>
      </c>
      <c r="AB92" s="1">
        <v>0.82</v>
      </c>
      <c r="AC92" s="1">
        <v>0.232364088691836</v>
      </c>
      <c r="AD92" s="1">
        <v>0.24190614713048</v>
      </c>
      <c r="AE92" s="1">
        <v>0.776261895684628</v>
      </c>
      <c r="AF92" s="1">
        <v>0.811507649302004</v>
      </c>
      <c r="AG92" s="1">
        <v>0.80028474362929</v>
      </c>
      <c r="AH92" s="1">
        <v>0.807819951299162</v>
      </c>
      <c r="AI92" s="1">
        <v>0.770447955803176</v>
      </c>
      <c r="AJ92" s="1" t="s">
        <v>50</v>
      </c>
      <c r="AK92" s="1">
        <v>0.814190566053204</v>
      </c>
      <c r="AL92" s="1">
        <v>0.815215703678247</v>
      </c>
      <c r="AM92" s="1">
        <v>0.482622669444462</v>
      </c>
      <c r="AN92" s="1">
        <v>0.679687376840944</v>
      </c>
      <c r="AO92" s="1">
        <v>90</v>
      </c>
    </row>
    <row r="93" s="1" customFormat="1" spans="1:41">
      <c r="A93" s="1" t="s">
        <v>379</v>
      </c>
      <c r="B93" s="1" t="s">
        <v>380</v>
      </c>
      <c r="C93" s="1">
        <v>945.53304</v>
      </c>
      <c r="D93" s="1" t="s">
        <v>381</v>
      </c>
      <c r="E93" s="1" t="s">
        <v>382</v>
      </c>
      <c r="F93" s="1" t="s">
        <v>45</v>
      </c>
      <c r="G93" s="1" t="s">
        <v>46</v>
      </c>
      <c r="H93" s="1">
        <v>8</v>
      </c>
      <c r="I93" s="1">
        <v>64</v>
      </c>
      <c r="J93" s="1">
        <v>63</v>
      </c>
      <c r="K93" s="1">
        <v>98.4375</v>
      </c>
      <c r="L93" s="1">
        <v>44</v>
      </c>
      <c r="M93" s="1">
        <v>68.75</v>
      </c>
      <c r="N93" s="1">
        <v>44</v>
      </c>
      <c r="O93" s="1">
        <v>68.75</v>
      </c>
      <c r="P93" s="1">
        <v>-8.14761363636364</v>
      </c>
      <c r="Q93" s="1">
        <f t="shared" si="2"/>
        <v>-358.495</v>
      </c>
      <c r="R93" s="1">
        <v>-8.185</v>
      </c>
      <c r="S93" s="1">
        <v>-11.922</v>
      </c>
      <c r="T93" s="1">
        <v>-4.49</v>
      </c>
      <c r="U93" s="1">
        <v>-4.47325</v>
      </c>
      <c r="V93" s="1">
        <v>-4.4795</v>
      </c>
      <c r="W93" s="1">
        <v>-5.53579545454545</v>
      </c>
      <c r="X93" s="1">
        <v>-5.4975</v>
      </c>
      <c r="Y93" s="1">
        <v>0.282378180301989</v>
      </c>
      <c r="Z93" s="1">
        <v>0.246470289945769</v>
      </c>
      <c r="AA93" s="1">
        <v>0.592741935483871</v>
      </c>
      <c r="AB93" s="1">
        <v>0.58</v>
      </c>
      <c r="AC93" s="1">
        <v>0.250943895686749</v>
      </c>
      <c r="AD93" s="1">
        <v>0.268457776855284</v>
      </c>
      <c r="AE93" s="1">
        <v>0.744037989934354</v>
      </c>
      <c r="AF93" s="1">
        <v>0.800607475811334</v>
      </c>
      <c r="AG93" s="1">
        <v>0.752739427871754</v>
      </c>
      <c r="AH93" s="1">
        <v>0.80496000950921</v>
      </c>
      <c r="AI93" s="1">
        <v>0.81806337938883</v>
      </c>
      <c r="AJ93" s="1" t="s">
        <v>50</v>
      </c>
      <c r="AK93" s="1">
        <v>0.812135361563937</v>
      </c>
      <c r="AL93" s="1">
        <v>0.806498310603658</v>
      </c>
      <c r="AM93" s="1">
        <v>0.31262950507845</v>
      </c>
      <c r="AN93" s="1">
        <v>0.632873444853221</v>
      </c>
      <c r="AO93" s="1">
        <v>91</v>
      </c>
    </row>
    <row r="94" s="1" customFormat="1" spans="1:41">
      <c r="A94" s="1" t="s">
        <v>383</v>
      </c>
      <c r="B94" s="1" t="s">
        <v>384</v>
      </c>
      <c r="C94" s="1">
        <v>1760.455389</v>
      </c>
      <c r="D94" s="1" t="s">
        <v>385</v>
      </c>
      <c r="E94" s="1" t="s">
        <v>386</v>
      </c>
      <c r="F94" s="1" t="s">
        <v>45</v>
      </c>
      <c r="G94" s="1" t="s">
        <v>46</v>
      </c>
      <c r="H94" s="1">
        <v>8</v>
      </c>
      <c r="I94" s="1">
        <v>64</v>
      </c>
      <c r="J94" s="1">
        <v>62</v>
      </c>
      <c r="K94" s="1">
        <v>96.875</v>
      </c>
      <c r="L94" s="1">
        <v>44</v>
      </c>
      <c r="M94" s="1">
        <v>68.75</v>
      </c>
      <c r="N94" s="1">
        <v>44</v>
      </c>
      <c r="O94" s="1">
        <v>68.75</v>
      </c>
      <c r="P94" s="1">
        <v>-9.47009090909091</v>
      </c>
      <c r="Q94" s="1">
        <f t="shared" si="2"/>
        <v>-416.684</v>
      </c>
      <c r="R94" s="1">
        <v>-9.2625</v>
      </c>
      <c r="S94" s="1">
        <v>-13.19</v>
      </c>
      <c r="T94" s="1">
        <v>-6.479</v>
      </c>
      <c r="U94" s="1">
        <v>-7.26725</v>
      </c>
      <c r="V94" s="1">
        <v>-6.9405</v>
      </c>
      <c r="W94" s="1">
        <v>-7.52161363636364</v>
      </c>
      <c r="X94" s="1">
        <v>-7.2455</v>
      </c>
      <c r="Y94" s="1">
        <v>0.107393730879458</v>
      </c>
      <c r="Z94" s="1">
        <v>0.0913740172027007</v>
      </c>
      <c r="AA94" s="1">
        <v>0.50758064516129</v>
      </c>
      <c r="AB94" s="1">
        <v>0.48</v>
      </c>
      <c r="AC94" s="1">
        <v>0.200713939454648</v>
      </c>
      <c r="AD94" s="1">
        <v>0.206204426354486</v>
      </c>
      <c r="AE94" s="1">
        <v>0.717394257018245</v>
      </c>
      <c r="AF94" s="1">
        <v>0.79722935198687</v>
      </c>
      <c r="AG94" s="1">
        <v>0.796650065508213</v>
      </c>
      <c r="AH94" s="1">
        <v>0.776583010712938</v>
      </c>
      <c r="AI94" s="1">
        <v>0.803249274150028</v>
      </c>
      <c r="AJ94" s="1">
        <v>0.81748622029157</v>
      </c>
      <c r="AK94" s="1">
        <v>0.809192541744341</v>
      </c>
      <c r="AL94" s="1">
        <v>0.800032844394513</v>
      </c>
      <c r="AM94" s="1">
        <v>0.283026467324661</v>
      </c>
      <c r="AN94" s="1">
        <v>0.587792445071646</v>
      </c>
      <c r="AO94" s="1">
        <v>92</v>
      </c>
    </row>
    <row r="95" s="1" customFormat="1" spans="1:41">
      <c r="A95" s="1" t="s">
        <v>387</v>
      </c>
      <c r="B95" s="1" t="s">
        <v>388</v>
      </c>
      <c r="C95" s="1">
        <v>670.212618</v>
      </c>
      <c r="D95" s="1" t="s">
        <v>389</v>
      </c>
      <c r="E95" s="1" t="s">
        <v>390</v>
      </c>
      <c r="F95" s="1" t="s">
        <v>45</v>
      </c>
      <c r="G95" s="1" t="s">
        <v>46</v>
      </c>
      <c r="H95" s="1">
        <v>8</v>
      </c>
      <c r="I95" s="1">
        <v>64</v>
      </c>
      <c r="J95" s="1">
        <v>62</v>
      </c>
      <c r="K95" s="1">
        <v>96.875</v>
      </c>
      <c r="L95" s="1">
        <v>13</v>
      </c>
      <c r="M95" s="1">
        <v>20.3125</v>
      </c>
      <c r="N95" s="1">
        <v>13</v>
      </c>
      <c r="O95" s="1">
        <v>20.3125</v>
      </c>
      <c r="P95" s="1">
        <v>-8.21623076923077</v>
      </c>
      <c r="Q95" s="1">
        <f t="shared" si="2"/>
        <v>-106.811</v>
      </c>
      <c r="R95" s="1">
        <v>-7.825</v>
      </c>
      <c r="S95" s="1">
        <v>-10.132</v>
      </c>
      <c r="T95" s="1">
        <v>-7.416</v>
      </c>
      <c r="U95" s="1">
        <v>-5.83976923076923</v>
      </c>
      <c r="V95" s="1">
        <v>-5.697</v>
      </c>
      <c r="W95" s="1">
        <v>-5.96261538461538</v>
      </c>
      <c r="X95" s="1">
        <v>-5.867</v>
      </c>
      <c r="Y95" s="1">
        <v>0.195840560620352</v>
      </c>
      <c r="Z95" s="1">
        <v>0.182940576012704</v>
      </c>
      <c r="AA95" s="1">
        <v>0.63258064516129</v>
      </c>
      <c r="AB95" s="1">
        <v>0.625</v>
      </c>
      <c r="AC95" s="1">
        <v>0.252281167364711</v>
      </c>
      <c r="AD95" s="1">
        <v>0.25112494101761</v>
      </c>
      <c r="AE95" s="1">
        <v>0.740042696360786</v>
      </c>
      <c r="AF95" s="1">
        <v>0.80610645062759</v>
      </c>
      <c r="AG95" s="1" t="s">
        <v>50</v>
      </c>
      <c r="AH95" s="1">
        <v>0.812700720225911</v>
      </c>
      <c r="AI95" s="1">
        <v>0.745767084277168</v>
      </c>
      <c r="AJ95" s="1" t="s">
        <v>50</v>
      </c>
      <c r="AK95" s="1">
        <v>0.785131884324482</v>
      </c>
      <c r="AL95" s="1">
        <v>0.821621502515907</v>
      </c>
      <c r="AM95" s="1">
        <v>0.288193948738446</v>
      </c>
      <c r="AN95" s="1">
        <v>0.652553005318883</v>
      </c>
      <c r="AO95" s="1">
        <v>93</v>
      </c>
    </row>
    <row r="96" s="1" customFormat="1" spans="1:41">
      <c r="A96" s="1" t="s">
        <v>391</v>
      </c>
      <c r="B96" s="1" t="s">
        <v>392</v>
      </c>
      <c r="C96" s="1">
        <v>368.399408</v>
      </c>
      <c r="D96" s="1" t="s">
        <v>393</v>
      </c>
      <c r="E96" s="1" t="s">
        <v>394</v>
      </c>
      <c r="F96" s="1" t="s">
        <v>45</v>
      </c>
      <c r="G96" s="1" t="s">
        <v>46</v>
      </c>
      <c r="H96" s="1">
        <v>8</v>
      </c>
      <c r="I96" s="1">
        <v>64</v>
      </c>
      <c r="J96" s="1">
        <v>61</v>
      </c>
      <c r="K96" s="1">
        <v>95.3125</v>
      </c>
      <c r="L96" s="1">
        <v>49</v>
      </c>
      <c r="M96" s="1">
        <v>76.5625</v>
      </c>
      <c r="N96" s="1">
        <v>49</v>
      </c>
      <c r="O96" s="1">
        <v>76.5625</v>
      </c>
      <c r="P96" s="1">
        <v>-4.8275306122449</v>
      </c>
      <c r="Q96" s="1">
        <f t="shared" si="2"/>
        <v>-236.549</v>
      </c>
      <c r="R96" s="1">
        <v>-4.691</v>
      </c>
      <c r="S96" s="1">
        <v>-6.752</v>
      </c>
      <c r="T96" s="1">
        <v>-4.03</v>
      </c>
      <c r="U96" s="1">
        <v>-3.10604081632653</v>
      </c>
      <c r="V96" s="1">
        <v>-3.186</v>
      </c>
      <c r="W96" s="1">
        <v>-3.46412244897959</v>
      </c>
      <c r="X96" s="1">
        <v>-3.457</v>
      </c>
      <c r="Y96" s="1">
        <v>0.432071135611313</v>
      </c>
      <c r="Z96" s="1">
        <v>0.465479036498889</v>
      </c>
      <c r="AA96" s="1">
        <v>0.665901639344262</v>
      </c>
      <c r="AB96" s="1">
        <v>0.67</v>
      </c>
      <c r="AC96" s="1">
        <v>0.264357650370501</v>
      </c>
      <c r="AD96" s="1">
        <v>0.26890107764647</v>
      </c>
      <c r="AE96" s="1">
        <v>0.793278397776394</v>
      </c>
      <c r="AF96" s="1">
        <v>0.81351592537097</v>
      </c>
      <c r="AG96" s="1" t="s">
        <v>50</v>
      </c>
      <c r="AH96" s="1">
        <v>0.817252262059584</v>
      </c>
      <c r="AI96" s="1">
        <v>0.816984043750981</v>
      </c>
      <c r="AJ96" s="1" t="s">
        <v>50</v>
      </c>
      <c r="AK96" s="1">
        <v>0.81853129301352</v>
      </c>
      <c r="AL96" s="1">
        <v>0.82165933584836</v>
      </c>
      <c r="AM96" s="1">
        <v>0.497389290347066</v>
      </c>
      <c r="AN96" s="1">
        <v>0.721697919876945</v>
      </c>
      <c r="AO96" s="1">
        <v>94</v>
      </c>
    </row>
    <row r="97" s="1" customFormat="1" spans="1:41">
      <c r="A97" s="1" t="s">
        <v>395</v>
      </c>
      <c r="B97" s="1" t="s">
        <v>396</v>
      </c>
      <c r="C97" s="1">
        <v>647.73128</v>
      </c>
      <c r="D97" s="1" t="s">
        <v>397</v>
      </c>
      <c r="E97" s="1" t="s">
        <v>398</v>
      </c>
      <c r="F97" s="1" t="s">
        <v>45</v>
      </c>
      <c r="G97" s="1" t="s">
        <v>46</v>
      </c>
      <c r="H97" s="1">
        <v>8</v>
      </c>
      <c r="I97" s="1">
        <v>64</v>
      </c>
      <c r="J97" s="1">
        <v>63</v>
      </c>
      <c r="K97" s="1">
        <v>98.4375</v>
      </c>
      <c r="L97" s="1">
        <v>26</v>
      </c>
      <c r="M97" s="1">
        <v>40.625</v>
      </c>
      <c r="N97" s="1">
        <v>26</v>
      </c>
      <c r="O97" s="1">
        <v>40.625</v>
      </c>
      <c r="P97" s="1">
        <v>-7.11888461538462</v>
      </c>
      <c r="Q97" s="1">
        <f t="shared" si="2"/>
        <v>-185.091</v>
      </c>
      <c r="R97" s="1">
        <v>-6.721</v>
      </c>
      <c r="S97" s="1">
        <v>-10.177</v>
      </c>
      <c r="T97" s="1">
        <v>-4.803</v>
      </c>
      <c r="U97" s="1">
        <v>-5.47011538461538</v>
      </c>
      <c r="V97" s="1">
        <v>-5.3275</v>
      </c>
      <c r="W97" s="1">
        <v>-5.81015384615385</v>
      </c>
      <c r="X97" s="1">
        <v>-5.616</v>
      </c>
      <c r="Y97" s="1">
        <v>0.275313694605508</v>
      </c>
      <c r="Z97" s="1">
        <v>0.2539548121541</v>
      </c>
      <c r="AA97" s="1">
        <v>0.612539682539683</v>
      </c>
      <c r="AB97" s="1">
        <v>0.62</v>
      </c>
      <c r="AC97" s="1">
        <v>0.194776066990007</v>
      </c>
      <c r="AD97" s="1">
        <v>0.190292386161586</v>
      </c>
      <c r="AE97" s="1">
        <v>0.757922424088251</v>
      </c>
      <c r="AF97" s="1">
        <v>0.797831139545444</v>
      </c>
      <c r="AG97" s="1" t="s">
        <v>50</v>
      </c>
      <c r="AH97" s="1">
        <v>0.792976100156841</v>
      </c>
      <c r="AI97" s="1">
        <v>0.812694878176587</v>
      </c>
      <c r="AJ97" s="1" t="s">
        <v>50</v>
      </c>
      <c r="AK97" s="1">
        <v>0.802900310010805</v>
      </c>
      <c r="AL97" s="1">
        <v>0.822441584971689</v>
      </c>
      <c r="AM97" s="1">
        <v>0.339097472327625</v>
      </c>
      <c r="AN97" s="1">
        <v>0.645109266200174</v>
      </c>
      <c r="AO97" s="1">
        <v>95</v>
      </c>
    </row>
    <row r="98" s="1" customFormat="1" spans="1:41">
      <c r="A98" s="1" t="s">
        <v>399</v>
      </c>
      <c r="B98" s="1" t="s">
        <v>400</v>
      </c>
      <c r="C98" s="1">
        <v>407.855726</v>
      </c>
      <c r="D98" s="1" t="s">
        <v>401</v>
      </c>
      <c r="E98" s="1" t="s">
        <v>402</v>
      </c>
      <c r="F98" s="1" t="s">
        <v>45</v>
      </c>
      <c r="G98" s="1" t="s">
        <v>46</v>
      </c>
      <c r="H98" s="1">
        <v>8</v>
      </c>
      <c r="I98" s="1">
        <v>64</v>
      </c>
      <c r="J98" s="1">
        <v>64</v>
      </c>
      <c r="K98" s="1">
        <v>100</v>
      </c>
      <c r="L98" s="1">
        <v>46</v>
      </c>
      <c r="M98" s="1">
        <v>71.875</v>
      </c>
      <c r="N98" s="1">
        <v>46</v>
      </c>
      <c r="O98" s="1">
        <v>71.875</v>
      </c>
      <c r="P98" s="1">
        <v>-4.61660869565217</v>
      </c>
      <c r="Q98" s="1">
        <f t="shared" si="2"/>
        <v>-212.364</v>
      </c>
      <c r="R98" s="1">
        <v>-4.4645</v>
      </c>
      <c r="S98" s="1">
        <v>-6.134</v>
      </c>
      <c r="T98" s="1">
        <v>-3.188</v>
      </c>
      <c r="U98" s="1">
        <v>-2.92384782608696</v>
      </c>
      <c r="V98" s="1">
        <v>-2.8455</v>
      </c>
      <c r="W98" s="1">
        <v>-3.39463043478261</v>
      </c>
      <c r="X98" s="1">
        <v>-3.3395</v>
      </c>
      <c r="Y98" s="1">
        <v>0.434931577739575</v>
      </c>
      <c r="Z98" s="1">
        <v>0.47994826678202</v>
      </c>
      <c r="AA98" s="1">
        <v>0.77671875</v>
      </c>
      <c r="AB98" s="1">
        <v>0.78</v>
      </c>
      <c r="AC98" s="1">
        <v>0.24089535864312</v>
      </c>
      <c r="AD98" s="1">
        <v>0.253789038494238</v>
      </c>
      <c r="AE98" s="1">
        <v>0.78436168664599</v>
      </c>
      <c r="AF98" s="1">
        <v>0.809645309043525</v>
      </c>
      <c r="AG98" s="1" t="s">
        <v>50</v>
      </c>
      <c r="AH98" s="1">
        <v>0.816699007302275</v>
      </c>
      <c r="AI98" s="1">
        <v>0.830971453331789</v>
      </c>
      <c r="AJ98" s="1" t="s">
        <v>50</v>
      </c>
      <c r="AK98" s="1">
        <v>0.808086260517097</v>
      </c>
      <c r="AL98" s="1">
        <v>0.805888774959228</v>
      </c>
      <c r="AM98" s="1">
        <v>0.508862966921032</v>
      </c>
      <c r="AN98" s="1">
        <v>0.703946580375335</v>
      </c>
      <c r="AO98" s="1">
        <v>96</v>
      </c>
    </row>
    <row r="99" s="1" customFormat="1" spans="1:41">
      <c r="A99" s="1" t="s">
        <v>403</v>
      </c>
      <c r="B99" s="1" t="s">
        <v>404</v>
      </c>
      <c r="C99" s="1">
        <v>769.483389</v>
      </c>
      <c r="D99" s="1" t="s">
        <v>405</v>
      </c>
      <c r="E99" s="1" t="s">
        <v>406</v>
      </c>
      <c r="F99" s="1" t="s">
        <v>45</v>
      </c>
      <c r="G99" s="1" t="s">
        <v>46</v>
      </c>
      <c r="H99" s="1">
        <v>8</v>
      </c>
      <c r="I99" s="1">
        <v>64</v>
      </c>
      <c r="J99" s="1">
        <v>63</v>
      </c>
      <c r="K99" s="1">
        <v>98.4375</v>
      </c>
      <c r="L99" s="1">
        <v>49</v>
      </c>
      <c r="M99" s="1">
        <v>76.5625</v>
      </c>
      <c r="N99" s="1">
        <v>49</v>
      </c>
      <c r="O99" s="1">
        <v>76.5625</v>
      </c>
      <c r="P99" s="1">
        <v>-7.67038775510204</v>
      </c>
      <c r="Q99" s="1">
        <f>PRODUCT(N99,P99)</f>
        <v>-375.849</v>
      </c>
      <c r="R99" s="1">
        <v>-7.933</v>
      </c>
      <c r="S99" s="1">
        <v>-9.835</v>
      </c>
      <c r="T99" s="1">
        <v>-4.83</v>
      </c>
      <c r="U99" s="1">
        <v>-4.09977551020408</v>
      </c>
      <c r="V99" s="1">
        <v>-3.99</v>
      </c>
      <c r="W99" s="1">
        <v>-4.49159183673469</v>
      </c>
      <c r="X99" s="1">
        <v>-4.348</v>
      </c>
      <c r="Y99" s="1">
        <v>0.340634897064773</v>
      </c>
      <c r="Z99" s="1">
        <v>0.335400672701852</v>
      </c>
      <c r="AA99" s="1">
        <v>0.660634920634921</v>
      </c>
      <c r="AB99" s="1">
        <v>0.64</v>
      </c>
      <c r="AC99" s="1">
        <v>0.229323361970433</v>
      </c>
      <c r="AD99" s="1">
        <v>0.24201709988621</v>
      </c>
      <c r="AE99" s="1">
        <v>0.747378549132442</v>
      </c>
      <c r="AF99" s="1">
        <v>0.801097285626857</v>
      </c>
      <c r="AG99" s="1">
        <v>0.770354579943368</v>
      </c>
      <c r="AH99" s="1">
        <v>0.799945862852116</v>
      </c>
      <c r="AI99" s="1">
        <v>0.804954422706712</v>
      </c>
      <c r="AJ99" s="1">
        <v>0.800847229059472</v>
      </c>
      <c r="AK99" s="1">
        <v>0.814921812068786</v>
      </c>
      <c r="AL99" s="1">
        <v>0.818124574797888</v>
      </c>
      <c r="AM99" s="1">
        <v>0.341084052346544</v>
      </c>
      <c r="AN99" s="1">
        <v>0.627973653072485</v>
      </c>
      <c r="AO99" s="1">
        <v>97</v>
      </c>
    </row>
    <row r="100" s="1" customFormat="1" spans="1:41">
      <c r="A100" s="1" t="s">
        <v>407</v>
      </c>
      <c r="B100" s="1" t="s">
        <v>408</v>
      </c>
      <c r="C100" s="1">
        <v>987.190803</v>
      </c>
      <c r="D100" s="1" t="s">
        <v>409</v>
      </c>
      <c r="E100" s="1" t="s">
        <v>410</v>
      </c>
      <c r="F100" s="1" t="s">
        <v>45</v>
      </c>
      <c r="G100" s="1" t="s">
        <v>46</v>
      </c>
      <c r="H100" s="1">
        <v>8</v>
      </c>
      <c r="I100" s="1">
        <v>64</v>
      </c>
      <c r="J100" s="1">
        <v>64</v>
      </c>
      <c r="K100" s="1">
        <v>100</v>
      </c>
      <c r="L100" s="1">
        <v>47</v>
      </c>
      <c r="M100" s="1">
        <v>73.4375</v>
      </c>
      <c r="N100" s="1">
        <v>47</v>
      </c>
      <c r="O100" s="1">
        <v>73.4375</v>
      </c>
      <c r="P100" s="1">
        <v>-9.38082978723404</v>
      </c>
      <c r="Q100" s="1">
        <f>PRODUCT(N100,P100)</f>
        <v>-440.899</v>
      </c>
      <c r="R100" s="1">
        <v>-9.296</v>
      </c>
      <c r="S100" s="1">
        <v>-13.668</v>
      </c>
      <c r="T100" s="1">
        <v>-4.883</v>
      </c>
      <c r="U100" s="1">
        <v>-7.71812765957447</v>
      </c>
      <c r="V100" s="1">
        <v>-6.99</v>
      </c>
      <c r="W100" s="1">
        <v>-7.87851063829787</v>
      </c>
      <c r="X100" s="1">
        <v>-7.001</v>
      </c>
      <c r="Y100" s="1">
        <v>0.280651078921199</v>
      </c>
      <c r="Z100" s="1">
        <v>0.246550032875232</v>
      </c>
      <c r="AA100" s="1">
        <v>0.6290625</v>
      </c>
      <c r="AB100" s="1">
        <v>0.63</v>
      </c>
      <c r="AC100" s="1">
        <v>0.269105940502432</v>
      </c>
      <c r="AD100" s="1">
        <v>0.275207648662138</v>
      </c>
      <c r="AE100" s="1">
        <v>0.737078559041683</v>
      </c>
      <c r="AF100" s="1">
        <v>0.792684025839833</v>
      </c>
      <c r="AG100" s="1">
        <v>0.812217001810111</v>
      </c>
      <c r="AH100" s="1">
        <v>0.793295043778498</v>
      </c>
      <c r="AI100" s="1">
        <v>0.813096871493061</v>
      </c>
      <c r="AJ100" s="1">
        <v>0.797440046974288</v>
      </c>
      <c r="AK100" s="1">
        <v>0.782749552051847</v>
      </c>
      <c r="AL100" s="1">
        <v>0.813894061952738</v>
      </c>
      <c r="AM100" s="1">
        <v>0.335525907267963</v>
      </c>
      <c r="AN100" s="1">
        <v>0.615839023503009</v>
      </c>
      <c r="AO100" s="1">
        <v>98</v>
      </c>
    </row>
    <row r="101" s="1" customFormat="1" spans="1:41">
      <c r="A101" s="1" t="s">
        <v>411</v>
      </c>
      <c r="B101" s="1" t="s">
        <v>412</v>
      </c>
      <c r="C101" s="1">
        <v>439.750095</v>
      </c>
      <c r="D101" s="1" t="s">
        <v>413</v>
      </c>
      <c r="E101" s="1" t="s">
        <v>414</v>
      </c>
      <c r="F101" s="1" t="s">
        <v>45</v>
      </c>
      <c r="G101" s="1" t="s">
        <v>46</v>
      </c>
      <c r="H101" s="1">
        <v>8</v>
      </c>
      <c r="I101" s="1">
        <v>64</v>
      </c>
      <c r="J101" s="1">
        <v>64</v>
      </c>
      <c r="K101" s="1">
        <v>100</v>
      </c>
      <c r="L101" s="1">
        <v>37</v>
      </c>
      <c r="M101" s="1">
        <v>57.8125</v>
      </c>
      <c r="N101" s="1">
        <v>37</v>
      </c>
      <c r="O101" s="1">
        <v>57.8125</v>
      </c>
      <c r="P101" s="1">
        <v>-7.43197297297297</v>
      </c>
      <c r="Q101" s="1">
        <f>PRODUCT(N101,P101)</f>
        <v>-274.983</v>
      </c>
      <c r="R101" s="1">
        <v>-6.916</v>
      </c>
      <c r="S101" s="1">
        <v>-13.133</v>
      </c>
      <c r="T101" s="1">
        <v>-5.283</v>
      </c>
      <c r="U101" s="1">
        <v>-5.04713513513514</v>
      </c>
      <c r="V101" s="1">
        <v>-5.023</v>
      </c>
      <c r="W101" s="1">
        <v>-5.87872972972973</v>
      </c>
      <c r="X101" s="1">
        <v>-5.604</v>
      </c>
      <c r="Y101" s="1">
        <v>0.406008301064459</v>
      </c>
      <c r="Z101" s="1">
        <v>0.39068156739305</v>
      </c>
      <c r="AA101" s="1">
        <v>0.6771875</v>
      </c>
      <c r="AB101" s="1">
        <v>0.665</v>
      </c>
      <c r="AC101" s="1">
        <v>0.194678102708082</v>
      </c>
      <c r="AD101" s="1">
        <v>0.186054475192061</v>
      </c>
      <c r="AE101" s="1">
        <v>0.773249695582726</v>
      </c>
      <c r="AF101" s="1">
        <v>0.813124277232649</v>
      </c>
      <c r="AG101" s="1">
        <v>0.749306748018311</v>
      </c>
      <c r="AH101" s="1">
        <v>0.797705044288399</v>
      </c>
      <c r="AI101" s="1">
        <v>0.816011231771879</v>
      </c>
      <c r="AJ101" s="1" t="s">
        <v>50</v>
      </c>
      <c r="AK101" s="1">
        <v>0.825190001561646</v>
      </c>
      <c r="AL101" s="1">
        <v>0.803153036587037</v>
      </c>
      <c r="AM101" s="1">
        <v>0.395946150968583</v>
      </c>
      <c r="AN101" s="1">
        <v>0.682176362267984</v>
      </c>
      <c r="AO101" s="1">
        <v>99</v>
      </c>
    </row>
    <row r="102" spans="1:41">
      <c r="N102">
        <f>SUM(N2:N101)</f>
        <v>3652</v>
      </c>
      <c r="Q102">
        <f>SUM(Q2:Q101)</f>
        <v>-27230.888</v>
      </c>
    </row>
    <row r="103" spans="1:41">
      <c r="Q103">
        <v>-7.45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叶行健</cp:lastModifiedBy>
  <dcterms:created xsi:type="dcterms:W3CDTF">2023-05-12T11:15:00Z</dcterms:created>
  <dcterms:modified xsi:type="dcterms:W3CDTF">2025-12-13T04:07:47Z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D55040EA7ED64EFCA1F54D5ECBAAD22A_12</vt:lpwstr>
  </property>
  <property fmtid="{D5CDD505-2E9C-101B-9397-08002B2CF9AE}" pid="4" name="CalculationRule">
    <vt:i4>0</vt:i4>
  </property>
</Properties>
</file>