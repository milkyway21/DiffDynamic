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<sst xmlns="http://schemas.openxmlformats.org/spreadsheetml/2006/main" count="738" uniqueCount="422">
  <si>
    <t>评估开始时间</t>
  </si>
  <si>
    <t>评估结束时间</t>
  </si>
  <si>
    <t>评估耗时(秒)</t>
  </si>
  <si>
    <t>PT文件</t>
  </si>
  <si>
    <t>配体文件</t>
  </si>
  <si>
    <t>蛋白根目录</t>
  </si>
  <si>
    <t>原子编码模式</t>
  </si>
  <si>
    <t>对接强度</t>
  </si>
  <si>
    <t>总样本数</t>
  </si>
  <si>
    <t>重建成功数</t>
  </si>
  <si>
    <t>重建成功率(%)</t>
  </si>
  <si>
    <t>评估成功数</t>
  </si>
  <si>
    <t>评估成功率(%)</t>
  </si>
  <si>
    <t>完整分子数</t>
  </si>
  <si>
    <t>完整分子率(%)</t>
  </si>
  <si>
    <t>Vina_Dock_均值</t>
  </si>
  <si>
    <t>vinatotal</t>
  </si>
  <si>
    <t>Vina_Dock_中位数</t>
  </si>
  <si>
    <t>Vina_Dock_最小值</t>
  </si>
  <si>
    <t>Vina_Dock_最大值</t>
  </si>
  <si>
    <t>Vina_ScoreOnly_均值</t>
  </si>
  <si>
    <t>Vina_ScoreOnly_中位数</t>
  </si>
  <si>
    <t>Vina_Minimize_均值</t>
  </si>
  <si>
    <t>Vina_Minimize_中位数</t>
  </si>
  <si>
    <t>QED_均值</t>
  </si>
  <si>
    <t>QED_中位数</t>
  </si>
  <si>
    <t>SA_均值</t>
  </si>
  <si>
    <t>SA_中位数</t>
  </si>
  <si>
    <t>原子类型分布JSD_均值</t>
  </si>
  <si>
    <t>原子类型分布JSD_中位数</t>
  </si>
  <si>
    <t>键长JSD_JSD_6-6|1_均值</t>
  </si>
  <si>
    <t>键长JSD_JSD_6-6|2_均值</t>
  </si>
  <si>
    <t>键长JSD_JSD_6-6|4_均值</t>
  </si>
  <si>
    <t>键长JSD_JSD_6-7|1_均值</t>
  </si>
  <si>
    <t>键长JSD_JSD_6-7|2_均值</t>
  </si>
  <si>
    <t>键长JSD_JSD_6-7|4_均值</t>
  </si>
  <si>
    <t>键长JSD_JSD_6-8|1_均值</t>
  </si>
  <si>
    <t>键长JSD_JSD_6-8|2_均值</t>
  </si>
  <si>
    <t>原子对距离JSD_JSD_All_12A_均值</t>
  </si>
  <si>
    <t>原子对距离JSD_JSD_CC_2A_均值</t>
  </si>
  <si>
    <t>数据ID</t>
  </si>
  <si>
    <t>2025-12-12 03:35:33</t>
  </si>
  <si>
    <t>2025-12-12 03:41:27</t>
  </si>
  <si>
    <t>result_34_20251212_031759.pt</t>
  </si>
  <si>
    <t>2zen_A_rec_2afx_1bn_lig_tt_docked_7.sdf</t>
  </si>
  <si>
    <t>data/crossdocked_v1.1_rmsd1.0_pocket10</t>
  </si>
  <si>
    <t>add_aromatic</t>
  </si>
  <si>
    <t>2025-12-12 03:35:59</t>
  </si>
  <si>
    <t>2025-12-12 03:43:42</t>
  </si>
  <si>
    <t>result_35_20251212_031405.pt</t>
  </si>
  <si>
    <t>4p6p_A_rec_4p77_5rp_lig_tt_docked_0.sdf</t>
  </si>
  <si>
    <t/>
  </si>
  <si>
    <t>2025-12-12 05:17:11</t>
  </si>
  <si>
    <t>2025-12-12 05:19:41</t>
  </si>
  <si>
    <t>result_16_20251212_050005.pt</t>
  </si>
  <si>
    <t>4g3d_B_rec_4idv_13v_lig_tt_min_0.sdf</t>
  </si>
  <si>
    <t>2025-12-12 05:21:07</t>
  </si>
  <si>
    <t>result_6_20251212_050002.pt</t>
  </si>
  <si>
    <t>1fmc_B_rec_1fmc_cho_lig_tt_docked_1.sdf</t>
  </si>
  <si>
    <t>2025-12-12 05:22:01</t>
  </si>
  <si>
    <t>result_34_20251212_050806.pt</t>
  </si>
  <si>
    <t>2025-12-12 05:17:12</t>
  </si>
  <si>
    <t>2025-12-12 05:22:09</t>
  </si>
  <si>
    <t>result_24_20251212_050245.pt</t>
  </si>
  <si>
    <t>2azy_A_rec_2azy_chd_lig_tt_docked_0.sdf</t>
  </si>
  <si>
    <t>2025-12-12 05:22:49</t>
  </si>
  <si>
    <t>result_2_20251212_050058.pt</t>
  </si>
  <si>
    <t>4yhj_A_rec_4yhj_an2_lig_tt_min_0.sdf</t>
  </si>
  <si>
    <t>2025-12-12 05:23:33</t>
  </si>
  <si>
    <t>result_28_20251212_050149.pt</t>
  </si>
  <si>
    <t>4q8b_B_rec_4q8b_sxx_lig_tt_min_0.sdf</t>
  </si>
  <si>
    <t>2025-12-12 05:23:37</t>
  </si>
  <si>
    <t>result_8_20251212_050151.pt</t>
  </si>
  <si>
    <t>1a2g_A_rec_4jmv_1ly_lig_tt_min_0.sdf</t>
  </si>
  <si>
    <t>2025-12-12 05:23:59</t>
  </si>
  <si>
    <t>result_18_20251212_050200.pt</t>
  </si>
  <si>
    <t>3gs6_A_rec_2oxn_oan_lig_tt_docked_4.sdf</t>
  </si>
  <si>
    <t>2025-12-12 05:24:39</t>
  </si>
  <si>
    <t>result_14_20251212_050303.pt</t>
  </si>
  <si>
    <t>2rhy_A_rec_2rhy_mlz_lig_tt_min_0.sdf</t>
  </si>
  <si>
    <t>2025-12-12 05:26:36</t>
  </si>
  <si>
    <t>result_0_20251212_045910.pt</t>
  </si>
  <si>
    <t>2z3h_A_rec_1wn6_bst_lig_tt_docked_3.sdf</t>
  </si>
  <si>
    <t>2025-12-12 05:27:13</t>
  </si>
  <si>
    <t>result_38_20251212_050629.pt</t>
  </si>
  <si>
    <t>4tqr_A_rec_2xca_doc_lig_tt_min_0.sdf</t>
  </si>
  <si>
    <t>2025-12-12 05:27:55</t>
  </si>
  <si>
    <t>result_10_20251212_045914.pt</t>
  </si>
  <si>
    <t>3dzh_A_rec_3u4i_cvr_lig_tt_docked_0.sdf</t>
  </si>
  <si>
    <t>2025-12-12 05:28:27</t>
  </si>
  <si>
    <t>result_4_20251212_050244.pt</t>
  </si>
  <si>
    <t>2v3r_A_rec_1dy4_snp_lig_tt_docked_1.sdf</t>
  </si>
  <si>
    <t>2025-12-12 05:28:31</t>
  </si>
  <si>
    <t>result_35_20251212_050340.pt</t>
  </si>
  <si>
    <t>2025-12-12 05:23:40</t>
  </si>
  <si>
    <t>2025-12-12 05:29:27</t>
  </si>
  <si>
    <t>result_29_20251212_050242.pt</t>
  </si>
  <si>
    <t>1djy_A_rec_1djz_ip2_lig_tt_min_0.sdf</t>
  </si>
  <si>
    <t>2025-12-12 05:26:43</t>
  </si>
  <si>
    <t>2025-12-12 05:29:57</t>
  </si>
  <si>
    <t>result_1_20251212_050005.pt</t>
  </si>
  <si>
    <t>4aaw_A_rec_4ac3_r83_lig_tt_min_0.sdf</t>
  </si>
  <si>
    <t>2025-12-12 05:22:55</t>
  </si>
  <si>
    <t>2025-12-12 05:30:01</t>
  </si>
  <si>
    <t>result_3_20251212_050150.pt</t>
  </si>
  <si>
    <t>14gs_A_rec_20gs_cbd_lig_tt_min_0.sdf</t>
  </si>
  <si>
    <t>2025-12-12 05:21:14</t>
  </si>
  <si>
    <t>2025-12-12 05:30:14</t>
  </si>
  <si>
    <t>result_7_20251212_050055.pt</t>
  </si>
  <si>
    <t>3daf_A_rec_3daf_feg_lig_tt_docked_0.sdf</t>
  </si>
  <si>
    <t>2025-12-12 05:30:46</t>
  </si>
  <si>
    <t>result_12_20251212_050115.pt</t>
  </si>
  <si>
    <t>1coy_A_rec_1coy_and_lig_tt_docked_0.sdf</t>
  </si>
  <si>
    <t>2025-12-12 05:25:48</t>
  </si>
  <si>
    <t>2025-12-12 05:30:51</t>
  </si>
  <si>
    <t>result_15_20251212_045909.pt</t>
  </si>
  <si>
    <t>2pqw_A_rec_2rhy_mlz_lig_tt_min_0.sdf</t>
  </si>
  <si>
    <t>2025-12-12 05:19:48</t>
  </si>
  <si>
    <t>2025-12-12 05:31:17</t>
  </si>
  <si>
    <t>result_17_20251212_050100.pt</t>
  </si>
  <si>
    <t>5bur_A_rec_5x8f_amp_lig_tt_docked_7.sdf</t>
  </si>
  <si>
    <t>2025-12-12 05:32:08</t>
  </si>
  <si>
    <t>result_20_20251212_045908.pt</t>
  </si>
  <si>
    <t>1dxo_C_rec_1gg5_e09_lig_tt_min_0.sdf</t>
  </si>
  <si>
    <t>2025-12-12 05:22:18</t>
  </si>
  <si>
    <t>2025-12-12 05:33:00</t>
  </si>
  <si>
    <t>result_25_20251212_045910.pt</t>
  </si>
  <si>
    <t>5i0b_A_rec_5vef_m77_lig_tt_min_0.sdf</t>
  </si>
  <si>
    <t>2025-12-12 05:28:34</t>
  </si>
  <si>
    <t>2025-12-12 05:33:14</t>
  </si>
  <si>
    <t>result_5_20251212_045907.pt</t>
  </si>
  <si>
    <t>4rn0_B_rec_4rn1_l8g_lig_tt_min_0.sdf</t>
  </si>
  <si>
    <t>2025-12-12 05:29:36</t>
  </si>
  <si>
    <t>2025-12-12 05:33:40</t>
  </si>
  <si>
    <t>result_42_20251212_050525.pt</t>
  </si>
  <si>
    <t>1l3l_A_rec_1l3l_lae_lig_tt_min_0.sdf</t>
  </si>
  <si>
    <t>2025-12-12 05:24:08</t>
  </si>
  <si>
    <t>2025-12-12 05:35:10</t>
  </si>
  <si>
    <t>result_19_20251212_050258.pt</t>
  </si>
  <si>
    <t>1r1h_A_rec_1r1h_bir_lig_tt_docked_1.sdf</t>
  </si>
  <si>
    <t>2025-12-12 05:35:38</t>
  </si>
  <si>
    <t>result_26_20251212_050005.pt</t>
  </si>
  <si>
    <t>1phk_A_rec_1phk_atp_lig_tt_min_0.sdf</t>
  </si>
  <si>
    <t>2025-12-12 05:30:23</t>
  </si>
  <si>
    <t>2025-12-12 05:36:17</t>
  </si>
  <si>
    <t>result_46_20251212_050435.pt</t>
  </si>
  <si>
    <t>2hcj_B_rec_2hcj_gdp_lig_tt_docked_0.sdf</t>
  </si>
  <si>
    <t>2025-12-12 05:28:03</t>
  </si>
  <si>
    <t>2025-12-12 05:38:35</t>
  </si>
  <si>
    <t>result_11_20251212_050016.pt</t>
  </si>
  <si>
    <t>3g51_A_rec_3g51_anp_lig_tt_min_0.sdf</t>
  </si>
  <si>
    <t>2025-12-12 05:27:20</t>
  </si>
  <si>
    <t>2025-12-12 05:39:17</t>
  </si>
  <si>
    <t>result_39_20251212_050733.pt</t>
  </si>
  <si>
    <t>4lfu_A_rec_4y13_480_lig_tt_min_0.sdf</t>
  </si>
  <si>
    <t>2025-12-12 05:33:23</t>
  </si>
  <si>
    <t>2025-12-12 05:39:20</t>
  </si>
  <si>
    <t>result_56_20251212_050507.pt</t>
  </si>
  <si>
    <t>1rs9_A_rec_1dmk_itu_lig_tt_min_0.sdf</t>
  </si>
  <si>
    <t>2025-12-12 05:30:59</t>
  </si>
  <si>
    <t>2025-12-12 05:39:55</t>
  </si>
  <si>
    <t>result_48_20251212_050628.pt</t>
  </si>
  <si>
    <t>1d7j_A_rec_1tco_fk5_lig_tt_docked_0.sdf</t>
  </si>
  <si>
    <t>2025-12-12 05:33:48</t>
  </si>
  <si>
    <t>2025-12-12 05:40:10</t>
  </si>
  <si>
    <t>result_43_20251212_050616.pt</t>
  </si>
  <si>
    <t>5ngz_A_rec_5ngz_2bg_lig_tt_min_0.sdf</t>
  </si>
  <si>
    <t>2025-12-12 05:40:53</t>
  </si>
  <si>
    <t>result_32_20251212_050550.pt</t>
  </si>
  <si>
    <t>2rma_A_rec_3rdd_ea4_lig_tt_docked_0.sdf</t>
  </si>
  <si>
    <t>2025-12-12 05:30:54</t>
  </si>
  <si>
    <t>2025-12-12 05:41:06</t>
  </si>
  <si>
    <t>result_13_20251212_050211.pt</t>
  </si>
  <si>
    <t>2jjg_A_rec_2jjg_plp_lig_tt_min_0.sdf</t>
  </si>
  <si>
    <t>2025-12-12 05:28:39</t>
  </si>
  <si>
    <t>2025-12-12 05:41:09</t>
  </si>
  <si>
    <t>result_40_20251212_050338.pt</t>
  </si>
  <si>
    <t>3jyh_A_rec_3n0t_opy_lig_tt_min_0.sdf</t>
  </si>
  <si>
    <t>2025-12-12 05:31:08</t>
  </si>
  <si>
    <t>2025-12-12 05:42:25</t>
  </si>
  <si>
    <t>result_50_20251212_050351.pt</t>
  </si>
  <si>
    <t>4u5s_A_rec_4u54_3c5_lig_tt_min_0.sdf</t>
  </si>
  <si>
    <t>2025-12-12 05:36:25</t>
  </si>
  <si>
    <t>2025-12-12 05:43:16</t>
  </si>
  <si>
    <t>result_47_20251212_050530.pt</t>
  </si>
  <si>
    <t>3kc1_A_rec_3kc1_2t6_lig_tt_min_0.sdf</t>
  </si>
  <si>
    <t>2025-12-12 05:28:33</t>
  </si>
  <si>
    <t>2025-12-12 05:43:38</t>
  </si>
  <si>
    <t>result_31_20251212_050443.pt</t>
  </si>
  <si>
    <t>4zfa_A_rec_1smj_pam_lig_tt_min_0.sdf</t>
  </si>
  <si>
    <t>2025-12-12 05:32:15</t>
  </si>
  <si>
    <t>2025-12-12 05:44:07</t>
  </si>
  <si>
    <t>result_21_20251212_050001.pt</t>
  </si>
  <si>
    <t>1gg5_A_rec_1kbo_340_lig_tt_min_0.sdf</t>
  </si>
  <si>
    <t>2025-12-12 05:35:20</t>
  </si>
  <si>
    <t>2025-12-12 05:44:16</t>
  </si>
  <si>
    <t>result_58_20251212_050704.pt</t>
  </si>
  <si>
    <t>3pdh_A_rec_4buz_ocz_lig_tt_min_0.sdf</t>
  </si>
  <si>
    <t>2025-12-12 05:24:44</t>
  </si>
  <si>
    <t>2025-12-12 05:44:59</t>
  </si>
  <si>
    <t>result_9_20251212_050244.pt</t>
  </si>
  <si>
    <t>5w2g_A_rec_5w2i_adp_lig_tt_min_0.sdf</t>
  </si>
  <si>
    <t>2025-12-12 05:33:09</t>
  </si>
  <si>
    <t>2025-12-12 05:45:56</t>
  </si>
  <si>
    <t>result_54_20251212_050737.pt</t>
  </si>
  <si>
    <t>4d7o_A_rec_3n5z_xfm_lig_tt_min_0.sdf</t>
  </si>
  <si>
    <t>2025-12-12 05:41:13</t>
  </si>
  <si>
    <t>2025-12-12 05:46:36</t>
  </si>
  <si>
    <t>result_66_20251212_050929.pt</t>
  </si>
  <si>
    <t>2e6d_A_rec_2e6d_fum_lig_tt_min_0.sdf</t>
  </si>
  <si>
    <t>2025-12-12 05:35:45</t>
  </si>
  <si>
    <t>2025-12-12 05:47:02</t>
  </si>
  <si>
    <t>result_27_20251212_050059.pt</t>
  </si>
  <si>
    <t>4keu_A_rec_4ket_pg4_lig_tt_min_0.sdf</t>
  </si>
  <si>
    <t>2025-12-12 05:47:01</t>
  </si>
  <si>
    <t>result_22_20251212_050058.pt</t>
  </si>
  <si>
    <t>5q0k_A_rec_5q0q_9ld_lig_tt_docked_0.sdf</t>
  </si>
  <si>
    <t>2025-12-12 05:40:19</t>
  </si>
  <si>
    <t>2025-12-12 05:47:33</t>
  </si>
  <si>
    <t>result_64_20251212_051422.pt</t>
  </si>
  <si>
    <t>2cy0_A_rec_2d5c_skm_lig_tt_min_0.sdf</t>
  </si>
  <si>
    <t>2025-12-12 05:40:04</t>
  </si>
  <si>
    <t>2025-12-12 05:47:53</t>
  </si>
  <si>
    <t>result_49_20251212_050725.pt</t>
  </si>
  <si>
    <t>4ja8_B_rec_4ja8_1k9_lig_tt_docked_0.sdf</t>
  </si>
  <si>
    <t>2025-12-12 05:39:26</t>
  </si>
  <si>
    <t>2025-12-12 05:48:30</t>
  </si>
  <si>
    <t>result_62_20251212_051125.pt</t>
  </si>
  <si>
    <t>1ai4_A_rec_1ai5_mnp_lig_tt_docked_0.sdf</t>
  </si>
  <si>
    <t>2025-12-12 05:44:26</t>
  </si>
  <si>
    <t>2025-12-12 05:48:36</t>
  </si>
  <si>
    <t>result_59_20251212_050818.pt</t>
  </si>
  <si>
    <t>1umd_B_rec_1umb_tdp_lig_tt_docked_1.sdf</t>
  </si>
  <si>
    <t>2025-12-12 05:31:25</t>
  </si>
  <si>
    <t>2025-12-12 05:51:41</t>
  </si>
  <si>
    <t>result_52_20251212_050539.pt</t>
  </si>
  <si>
    <t>3v4t_A_rec_4e7f_udp_lig_tt_min_0.sdf</t>
  </si>
  <si>
    <t>2025-12-12 05:39:28</t>
  </si>
  <si>
    <t>2025-12-12 05:52:02</t>
  </si>
  <si>
    <t>result_57_20251212_050610.pt</t>
  </si>
  <si>
    <t>4kcq_A_rec_4cwv_hw8_lig_tt_min_0.sdf</t>
  </si>
  <si>
    <t>2025-12-12 05:48:01</t>
  </si>
  <si>
    <t>2025-12-12 05:53:26</t>
  </si>
  <si>
    <t>result_78_20251212_051113.pt</t>
  </si>
  <si>
    <t>5tjn_A_rec_1zj1_nlc_lig_tt_docked_4.sdf</t>
  </si>
  <si>
    <t>2025-12-12 05:46:44</t>
  </si>
  <si>
    <t>2025-12-12 05:53:29</t>
  </si>
  <si>
    <t>result_67_20251212_051027.pt</t>
  </si>
  <si>
    <t>4rv4_A_rec_4rv4_prp_lig_tt_docked_2.sdf</t>
  </si>
  <si>
    <t>2025-12-12 05:47:09</t>
  </si>
  <si>
    <t>2025-12-12 05:53:33</t>
  </si>
  <si>
    <t>result_23_20251212_050151.pt</t>
  </si>
  <si>
    <t>5b08_A_rec_5b09_4mx_lig_tt_min_0.sdf</t>
  </si>
  <si>
    <t>2025-12-12 05:45:06</t>
  </si>
  <si>
    <t>2025-12-12 05:53:40</t>
  </si>
  <si>
    <t>result_74_20251212_051235.pt</t>
  </si>
  <si>
    <t>4h3c_A_rec_5cqj_53q_lig_tt_docked_2.sdf</t>
  </si>
  <si>
    <t>2025-12-12 05:46:03</t>
  </si>
  <si>
    <t>2025-12-12 05:53:45</t>
  </si>
  <si>
    <t>result_55_20251212_050407.pt</t>
  </si>
  <si>
    <t>3ej8_A_rec_2nsi_itu_lig_tt_min_0.sdf</t>
  </si>
  <si>
    <t>2025-12-12 05:43:25</t>
  </si>
  <si>
    <t>2025-12-12 05:54:22</t>
  </si>
  <si>
    <t>result_68_20251212_051201.pt</t>
  </si>
  <si>
    <t>5d7n_D_rec_4jt9_1ns_lig_tt_min_0.sdf</t>
  </si>
  <si>
    <t>2025-12-12 05:54:33</t>
  </si>
  <si>
    <t>result_72_20251212_051031.pt</t>
  </si>
  <si>
    <t>4tos_A_rec_4tos_355_lig_tt_min_0.sdf</t>
  </si>
  <si>
    <t>2025-12-12 05:41:01</t>
  </si>
  <si>
    <t>2025-12-12 05:54:44</t>
  </si>
  <si>
    <t>result_33_20251212_050701.pt</t>
  </si>
  <si>
    <t>3b6h_A_rec_3b6h_mxd_lig_tt_min_0.sdf</t>
  </si>
  <si>
    <t>2025-12-12 05:30:04</t>
  </si>
  <si>
    <t>2025-12-12 05:54:59</t>
  </si>
  <si>
    <t>result_44_20251212_050714.pt</t>
  </si>
  <si>
    <t>1e8h_A_rec_1e8h_adp_lig_tt_min_0.sdf</t>
  </si>
  <si>
    <t>2025-12-12 05:55:35</t>
  </si>
  <si>
    <t>result_37_20251212_050531.pt</t>
  </si>
  <si>
    <t>4f1m_A_rec_4f1m_acp_lig_tt_min_0.sdf</t>
  </si>
  <si>
    <t>2025-12-12 05:42:34</t>
  </si>
  <si>
    <t>2025-12-12 05:56:01</t>
  </si>
  <si>
    <t>result_51_20251212_050446.pt</t>
  </si>
  <si>
    <t>4iiy_A_rec_3tle_gsu_lig_tt_docked_12.sdf</t>
  </si>
  <si>
    <t>2025-12-12 05:43:47</t>
  </si>
  <si>
    <t>2025-12-12 05:56:09</t>
  </si>
  <si>
    <t>result_70_20251212_050844.pt</t>
  </si>
  <si>
    <t>1h36_A_rec_1o79_r23_lig_tt_docked_5.sdf</t>
  </si>
  <si>
    <t>2025-12-12 05:41:15</t>
  </si>
  <si>
    <t>2025-12-12 05:56:59</t>
  </si>
  <si>
    <t>result_41_20251212_050430.pt</t>
  </si>
  <si>
    <t>4iwq_A_rec_4jlc_su6_lig_tt_min_0.sdf</t>
  </si>
  <si>
    <t>2025-12-12 05:47:41</t>
  </si>
  <si>
    <t>2025-12-12 05:57:29</t>
  </si>
  <si>
    <t>result_65_20251212_050837.pt</t>
  </si>
  <si>
    <t>3w83_B_rec_2e6d_fum_lig_tt_min_0.sdf</t>
  </si>
  <si>
    <t>2025-12-12 05:47:08</t>
  </si>
  <si>
    <t>2025-12-12 05:57:46</t>
  </si>
  <si>
    <t>result_76_20251212_050927.pt</t>
  </si>
  <si>
    <t>4xli_B_rec_4xli_1n1_lig_tt_min_0.sdf</t>
  </si>
  <si>
    <t>2025-12-12 05:54:42</t>
  </si>
  <si>
    <t>2025-12-12 05:58:12</t>
  </si>
  <si>
    <t>result_73_20251212_051130.pt</t>
  </si>
  <si>
    <t>5aeh_A_rec_5aeh_8ir_lig_tt_docked_0.sdf</t>
  </si>
  <si>
    <t>2025-12-12 05:54:31</t>
  </si>
  <si>
    <t>2025-12-12 05:59:00</t>
  </si>
  <si>
    <t>result_69_20251212_051322.pt</t>
  </si>
  <si>
    <t>5mgl_A_rec_5mgl_7mu_lig_tt_min_0.sdf</t>
  </si>
  <si>
    <t>2025-12-12 05:53:36</t>
  </si>
  <si>
    <t>2025-12-12 05:59:47</t>
  </si>
  <si>
    <t>result_84_20251212_051257.pt</t>
  </si>
  <si>
    <t>3nfb_A_rec_3nfb_oae_lig_tt_docked_2.sdf</t>
  </si>
  <si>
    <t>2025-12-12 05:54:54</t>
  </si>
  <si>
    <t>2025-12-12 06:00:07</t>
  </si>
  <si>
    <t>result_90_20251212_051321.pt</t>
  </si>
  <si>
    <t>1k9t_A_rec_2wlz_dio_lig_tt_min_0.sdf</t>
  </si>
  <si>
    <t>2025-12-12 05:48:40</t>
  </si>
  <si>
    <t>2025-12-12 06:00:46</t>
  </si>
  <si>
    <t>result_63_20251212_051301.pt</t>
  </si>
  <si>
    <t>5mma_A_rec_4ztf_x2p_lig_tt_min_0.sdf</t>
  </si>
  <si>
    <t>2025-12-12 05:56:16</t>
  </si>
  <si>
    <t>2025-12-12 06:00:54</t>
  </si>
  <si>
    <t>result_71_20251212_050933.pt</t>
  </si>
  <si>
    <t>4gvd_A_rec_4nxr_ans_lig_tt_min_0.sdf</t>
  </si>
  <si>
    <t>2025-12-12 05:38:44</t>
  </si>
  <si>
    <t>2025-12-12 06:01:08</t>
  </si>
  <si>
    <t>result_60_20251212_050820.pt</t>
  </si>
  <si>
    <t>4pxz_A_rec_4pxz_6ad_lig_tt_min_0.sdf</t>
  </si>
  <si>
    <t>2025-12-12 05:56:10</t>
  </si>
  <si>
    <t>2025-12-12 06:01:29</t>
  </si>
  <si>
    <t>result_94_20251212_051658.pt</t>
  </si>
  <si>
    <t>1jn2_P_rec_1val_png_lig_tt_docked_11.sdf</t>
  </si>
  <si>
    <t>2025-12-12 05:57:55</t>
  </si>
  <si>
    <t>2025-12-12 06:02:03</t>
  </si>
  <si>
    <t>result_77_20251212_051020.pt</t>
  </si>
  <si>
    <t>3l3n_A_rec_2iux_nxa_lig_tt_docked_2.sdf</t>
  </si>
  <si>
    <t>2025-12-12 05:57:08</t>
  </si>
  <si>
    <t>2025-12-12 06:02:19</t>
  </si>
  <si>
    <t>result_96_20251212_051425.pt</t>
  </si>
  <si>
    <t>3pnm_A_rec_3pnq_2ha_lig_tt_docked_10.sdf</t>
  </si>
  <si>
    <t>2025-12-12 05:51:50</t>
  </si>
  <si>
    <t>2025-12-12 06:02:22</t>
  </si>
  <si>
    <t>result_53_20251212_050634.pt</t>
  </si>
  <si>
    <t>3tym_A_rec_3n5v_xfh_lig_tt_min_0.sdf</t>
  </si>
  <si>
    <t>2025-12-12 06:03:13</t>
  </si>
  <si>
    <t>result_79_20251212_051215.pt</t>
  </si>
  <si>
    <t>5liu_X_rec_4gq0_qap_lig_tt_min_0.sdf</t>
  </si>
  <si>
    <t>2025-12-12 05:54:41</t>
  </si>
  <si>
    <t>2025-12-12 06:03:27</t>
  </si>
  <si>
    <t>result_86_20251212_051120.pt</t>
  </si>
  <si>
    <t>3u9f_C_rec_3u9f_clm_lig_tt_min_0.sdf</t>
  </si>
  <si>
    <t>2025-12-12 05:52:12</t>
  </si>
  <si>
    <t>2025-12-12 06:04:12</t>
  </si>
  <si>
    <t>result_82_20251212_051054.pt</t>
  </si>
  <si>
    <t>3hy9_B_rec_3hyg_099_lig_tt_min_0.sdf</t>
  </si>
  <si>
    <t>2025-12-12 05:54:53</t>
  </si>
  <si>
    <t>2025-12-12 06:04:51</t>
  </si>
  <si>
    <t>result_88_20251212_051414.pt</t>
  </si>
  <si>
    <t>2f2c_B_rec_1xo2_fse_lig_tt_min_0.sdf</t>
  </si>
  <si>
    <t>2025-12-12 06:01:15</t>
  </si>
  <si>
    <t>2025-12-12 06:04:53</t>
  </si>
  <si>
    <t>result_61_20251212_050944.pt</t>
  </si>
  <si>
    <t>2gns_A_rec_4qer_stl_lig_tt_min_0.sdf</t>
  </si>
  <si>
    <t>2025-12-12 06:01:37</t>
  </si>
  <si>
    <t>2025-12-12 06:05:26</t>
  </si>
  <si>
    <t>result_95_20251212_051330.pt</t>
  </si>
  <si>
    <t>3li4_A_rec_2gvv_di9_lig_tt_min_0.sdf</t>
  </si>
  <si>
    <t>2025-12-12 05:55:09</t>
  </si>
  <si>
    <t>2025-12-12 06:05:47</t>
  </si>
  <si>
    <t>result_45_20251212_050338.pt</t>
  </si>
  <si>
    <t>2e24_A_rec_1j0n_ceg_lig_tt_docked_14.sdf</t>
  </si>
  <si>
    <t>2025-12-12 05:53:50</t>
  </si>
  <si>
    <t>2025-12-12 06:07:48</t>
  </si>
  <si>
    <t>result_75_20251212_050830.pt</t>
  </si>
  <si>
    <t>4rlu_A_rec_4rlu_hcc_lig_tt_min_0.sdf</t>
  </si>
  <si>
    <t>2025-12-12 06:03:35</t>
  </si>
  <si>
    <t>2025-12-12 06:09:42</t>
  </si>
  <si>
    <t>result_87_20251212_051253.pt</t>
  </si>
  <si>
    <t>4aua_A_rec_4aua_4au_lig_it2_tt_docked_7.sdf</t>
  </si>
  <si>
    <t>2025-12-12 06:00:16</t>
  </si>
  <si>
    <t>2025-12-12 06:09:48</t>
  </si>
  <si>
    <t>result_91_20251212_051415.pt</t>
  </si>
  <si>
    <t>1h0i_A_rec_1e6z_ngo_lig_it2_tt_docked_15.sdf</t>
  </si>
  <si>
    <t>2025-12-12 06:04:57</t>
  </si>
  <si>
    <t>2025-12-12 06:10:31</t>
  </si>
  <si>
    <t>result_89_20251212_051506.pt</t>
  </si>
  <si>
    <t>3chc_B_rec_3ch9_xrg_lig_tt_min_0.sdf</t>
  </si>
  <si>
    <t>2025-12-12 06:02:25</t>
  </si>
  <si>
    <t>2025-12-12 06:11:11</t>
  </si>
  <si>
    <t>result_97_20251212_051519.pt</t>
  </si>
  <si>
    <t>1afs_A_rec_1afs_tes_lig_tt_min_0.sdf</t>
  </si>
  <si>
    <t>2025-12-12 05:48:45</t>
  </si>
  <si>
    <t>2025-12-12 06:11:26</t>
  </si>
  <si>
    <t>result_80_20251212_050902.pt</t>
  </si>
  <si>
    <t>3o96_A_rec_3o96_iqo_lig_tt_docked_2.sdf</t>
  </si>
  <si>
    <t>2025-12-12 05:57:36</t>
  </si>
  <si>
    <t>2025-12-12 06:11:49</t>
  </si>
  <si>
    <t>result_98_20251212_051613.pt</t>
  </si>
  <si>
    <t>4azf_A_rec_5lxc_7aa_lig_tt_min_0.sdf</t>
  </si>
  <si>
    <t>2025-12-12 05:59:54</t>
  </si>
  <si>
    <t>2025-12-12 06:15:08</t>
  </si>
  <si>
    <t>result_85_20251212_050940.pt</t>
  </si>
  <si>
    <t>4m7t_A_rec_4m7t_sam_lig_tt_min_0.sdf</t>
  </si>
  <si>
    <t>2025-12-12 06:11:56</t>
  </si>
  <si>
    <t>2025-12-12 06:17:13</t>
  </si>
  <si>
    <t>result_99_20251212_051706.pt</t>
  </si>
  <si>
    <t>2pc8_A_rec_1eqc_cts_lig_tt_docked_6.sdf</t>
  </si>
  <si>
    <t>2025-12-12 05:55:42</t>
  </si>
  <si>
    <t>2025-12-12 06:17:30</t>
  </si>
  <si>
    <t>result_92_20251212_051511.pt</t>
  </si>
  <si>
    <t>4z2g_A_rec_4z2g_m6v_lig_tt_docked_16.sdf</t>
  </si>
  <si>
    <t>2025-12-12 06:17:37</t>
  </si>
  <si>
    <t>2025-12-12 06:27:05</t>
  </si>
  <si>
    <t>result_93_20251212_051605.pt</t>
  </si>
  <si>
    <t>3af2_A_rec_3af4_gcp_lig_tt_min_0.sdf</t>
  </si>
  <si>
    <t>2025-12-12 06:04:19</t>
  </si>
  <si>
    <t>2025-12-12 06:31:34</t>
  </si>
  <si>
    <t>result_83_20251212_051149.pt</t>
  </si>
  <si>
    <t>4bel_A_rec_2ewy_dbo_lig_tt_min_0.sdf</t>
  </si>
  <si>
    <t>2025-12-12 06:11:33</t>
  </si>
  <si>
    <t>2025-12-12 06:37:12</t>
  </si>
  <si>
    <t>result_81_20251212_050959.pt</t>
  </si>
  <si>
    <t>4qlk_A_rec_4qlk_ctt_lig_tt_docked_0.sdf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</si>
</sst>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3"/>
  <sheetViews>
    <sheetView tabSelected="1" workbookViewId="0">
      <selection activeCell="Q2" sqref="Q2"/>
    </sheetView>
  </sheetViews>
  <sheetFormatPr defaultColWidth="9" defaultRowHeight="13.5"/>
  <cols>
    <col min="3" max="3" width="10.375"/>
    <col min="16" max="16" width="13.75"/>
    <col min="17" max="17" width="11.5"/>
    <col min="21" max="21" width="13.75"/>
    <col min="23" max="23" width="13.75"/>
    <col min="25" max="26" width="12.625"/>
    <col min="27" max="27" width="11.5"/>
    <col min="29" max="40" width="12.625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="1" customFormat="1" spans="1:41">
      <c r="A2" s="1" t="s">
        <v>41</v>
      </c>
      <c r="B2" s="1" t="s">
        <v>42</v>
      </c>
      <c r="C2" s="1">
        <v>353.29195</v>
      </c>
      <c r="D2" s="1" t="s">
        <v>43</v>
      </c>
      <c r="E2" s="1" t="s">
        <v>44</v>
      </c>
      <c r="F2" s="1" t="s">
        <v>45</v>
      </c>
      <c r="G2" s="1" t="s">
        <v>46</v>
      </c>
      <c r="H2" s="1">
        <v>8</v>
      </c>
      <c r="I2" s="1">
        <v>64</v>
      </c>
      <c r="J2" s="1">
        <v>62</v>
      </c>
      <c r="K2" s="1">
        <v>96.875</v>
      </c>
      <c r="L2" s="1">
        <v>47</v>
      </c>
      <c r="M2" s="1">
        <v>73.4375</v>
      </c>
      <c r="N2" s="1">
        <v>47</v>
      </c>
      <c r="O2" s="1">
        <v>73.4375</v>
      </c>
      <c r="P2" s="1">
        <v>-5.67697872340426</v>
      </c>
      <c r="Q2" s="1">
        <f>PRODUCT(N2,P2)</f>
        <v>-266.818</v>
      </c>
      <c r="R2" s="1">
        <v>-5.634</v>
      </c>
      <c r="S2" s="1">
        <v>-8.593</v>
      </c>
      <c r="T2" s="1">
        <v>-4.896</v>
      </c>
      <c r="U2" s="1">
        <v>-4.33625531914894</v>
      </c>
      <c r="V2" s="1">
        <v>-4.319</v>
      </c>
      <c r="W2" s="1">
        <v>-4.69948936170213</v>
      </c>
      <c r="X2" s="1">
        <v>-4.688</v>
      </c>
      <c r="Y2" s="1">
        <v>0.43234350729699</v>
      </c>
      <c r="Z2" s="1">
        <v>0.452968465186752</v>
      </c>
      <c r="AA2" s="1">
        <v>0.76483870967742</v>
      </c>
      <c r="AB2" s="1">
        <v>0.81</v>
      </c>
      <c r="AC2" s="1">
        <v>0.1551884711563</v>
      </c>
      <c r="AD2" s="1">
        <v>0.149008937310616</v>
      </c>
      <c r="AE2" s="1">
        <v>0.767854401643259</v>
      </c>
      <c r="AF2" s="1">
        <v>0.811671529463079</v>
      </c>
      <c r="AG2" s="1">
        <v>0.818415695452566</v>
      </c>
      <c r="AH2" s="1">
        <v>0.816968781652953</v>
      </c>
      <c r="AI2" s="1">
        <v>0.828347520933493</v>
      </c>
      <c r="AJ2" s="1">
        <v>0.815201512346534</v>
      </c>
      <c r="AK2" s="1">
        <v>0.81484028581308</v>
      </c>
      <c r="AL2" s="1">
        <v>0.821408952514212</v>
      </c>
      <c r="AM2" s="1">
        <v>0.507252068015587</v>
      </c>
      <c r="AN2" s="1">
        <v>0.682174815214159</v>
      </c>
      <c r="AO2" s="1">
        <v>34</v>
      </c>
    </row>
    <row r="3" s="1" customFormat="1" spans="1:41">
      <c r="A3" s="1" t="s">
        <v>47</v>
      </c>
      <c r="B3" s="1" t="s">
        <v>48</v>
      </c>
      <c r="C3" s="1">
        <v>463.100295</v>
      </c>
      <c r="D3" s="1" t="s">
        <v>49</v>
      </c>
      <c r="E3" s="1" t="s">
        <v>50</v>
      </c>
      <c r="F3" s="1" t="s">
        <v>45</v>
      </c>
      <c r="G3" s="1" t="s">
        <v>46</v>
      </c>
      <c r="H3" s="1">
        <v>8</v>
      </c>
      <c r="I3" s="1">
        <v>64</v>
      </c>
      <c r="J3" s="1">
        <v>64</v>
      </c>
      <c r="K3" s="1">
        <v>100</v>
      </c>
      <c r="L3" s="1">
        <v>43</v>
      </c>
      <c r="M3" s="1">
        <v>67.1875</v>
      </c>
      <c r="N3" s="1">
        <v>43</v>
      </c>
      <c r="O3" s="1">
        <v>67.1875</v>
      </c>
      <c r="P3" s="1">
        <v>-8.60972093023256</v>
      </c>
      <c r="Q3" s="1">
        <f t="shared" ref="Q3:Q34" si="0">PRODUCT(N3,P3)</f>
        <v>-370.218</v>
      </c>
      <c r="R3" s="1">
        <v>-8.423</v>
      </c>
      <c r="S3" s="1">
        <v>-11.316</v>
      </c>
      <c r="T3" s="1">
        <v>-6.939</v>
      </c>
      <c r="U3" s="1">
        <v>-7.52106976744186</v>
      </c>
      <c r="V3" s="1">
        <v>-7.561</v>
      </c>
      <c r="W3" s="1">
        <v>-7.96404651162791</v>
      </c>
      <c r="X3" s="1">
        <v>-7.787</v>
      </c>
      <c r="Y3" s="1">
        <v>0.270957152055005</v>
      </c>
      <c r="Z3" s="1">
        <v>0.233404355775454</v>
      </c>
      <c r="AA3" s="1">
        <v>0.57703125</v>
      </c>
      <c r="AB3" s="1">
        <v>0.58</v>
      </c>
      <c r="AC3" s="1">
        <v>0.253374798143192</v>
      </c>
      <c r="AD3" s="1">
        <v>0.262152120797967</v>
      </c>
      <c r="AE3" s="1">
        <v>0.795509677985655</v>
      </c>
      <c r="AF3" s="1">
        <v>0.815008822572835</v>
      </c>
      <c r="AG3" s="1" t="s">
        <v>51</v>
      </c>
      <c r="AH3" s="1">
        <v>0.791336633952109</v>
      </c>
      <c r="AI3" s="1">
        <v>0.807104305772557</v>
      </c>
      <c r="AJ3" s="1" t="s">
        <v>51</v>
      </c>
      <c r="AK3" s="1">
        <v>0.820708836554451</v>
      </c>
      <c r="AL3" s="1">
        <v>0.824704853047603</v>
      </c>
      <c r="AM3" s="1">
        <v>0.428503966931252</v>
      </c>
      <c r="AN3" s="1">
        <v>0.716088690290816</v>
      </c>
      <c r="AO3" s="1">
        <v>35</v>
      </c>
    </row>
    <row r="4" s="1" customFormat="1" spans="1:41">
      <c r="A4" s="1" t="s">
        <v>52</v>
      </c>
      <c r="B4" s="1" t="s">
        <v>53</v>
      </c>
      <c r="C4" s="1">
        <v>149.058869</v>
      </c>
      <c r="D4" s="1" t="s">
        <v>54</v>
      </c>
      <c r="E4" s="1" t="s">
        <v>55</v>
      </c>
      <c r="F4" s="1" t="s">
        <v>45</v>
      </c>
      <c r="G4" s="1" t="s">
        <v>46</v>
      </c>
      <c r="H4" s="1">
        <v>8</v>
      </c>
      <c r="I4" s="1">
        <v>64</v>
      </c>
      <c r="J4" s="1">
        <v>60</v>
      </c>
      <c r="K4" s="1">
        <v>93.75</v>
      </c>
      <c r="L4" s="1">
        <v>2</v>
      </c>
      <c r="M4" s="1">
        <v>3.125</v>
      </c>
      <c r="N4" s="1">
        <v>2</v>
      </c>
      <c r="O4" s="1">
        <v>3.125</v>
      </c>
      <c r="P4" s="1">
        <v>-7.012</v>
      </c>
      <c r="Q4" s="1">
        <f t="shared" si="0"/>
        <v>-14.024</v>
      </c>
      <c r="R4" s="1">
        <v>-7.012</v>
      </c>
      <c r="S4" s="1">
        <v>-7.402</v>
      </c>
      <c r="T4" s="1">
        <v>-6.622</v>
      </c>
      <c r="U4" s="1">
        <v>-4.125</v>
      </c>
      <c r="V4" s="1">
        <v>-4.125</v>
      </c>
      <c r="W4" s="1">
        <v>-4.556</v>
      </c>
      <c r="X4" s="1">
        <v>-4.556</v>
      </c>
      <c r="Y4" s="1">
        <v>0.227783695196186</v>
      </c>
      <c r="Z4" s="1">
        <v>0.202786015653723</v>
      </c>
      <c r="AA4" s="1">
        <v>0.606166666666667</v>
      </c>
      <c r="AB4" s="1">
        <v>0.6</v>
      </c>
      <c r="AC4" s="1">
        <v>0.163022195968922</v>
      </c>
      <c r="AD4" s="1">
        <v>0.163022195968922</v>
      </c>
      <c r="AE4" s="1">
        <v>0.768217976615305</v>
      </c>
      <c r="AF4" s="1">
        <v>0.808379828269866</v>
      </c>
      <c r="AG4" s="1" t="s">
        <v>51</v>
      </c>
      <c r="AH4" s="1">
        <v>0.822104125191519</v>
      </c>
      <c r="AI4" s="1">
        <v>0.832554611157698</v>
      </c>
      <c r="AJ4" s="1" t="s">
        <v>51</v>
      </c>
      <c r="AK4" s="1">
        <v>0.802808832782957</v>
      </c>
      <c r="AL4" s="1">
        <v>0.804912151669458</v>
      </c>
      <c r="AM4" s="1">
        <v>0.309443331741609</v>
      </c>
      <c r="AN4" s="1">
        <v>0.649657223674322</v>
      </c>
      <c r="AO4" s="1">
        <v>16</v>
      </c>
    </row>
    <row r="5" s="1" customFormat="1" spans="1:41">
      <c r="A5" s="1" t="s">
        <v>52</v>
      </c>
      <c r="B5" s="1" t="s">
        <v>56</v>
      </c>
      <c r="C5" s="1">
        <v>235.460474</v>
      </c>
      <c r="D5" s="1" t="s">
        <v>57</v>
      </c>
      <c r="E5" s="1" t="s">
        <v>58</v>
      </c>
      <c r="F5" s="1" t="s">
        <v>45</v>
      </c>
      <c r="G5" s="1" t="s">
        <v>46</v>
      </c>
      <c r="H5" s="1">
        <v>8</v>
      </c>
      <c r="I5" s="1">
        <v>64</v>
      </c>
      <c r="J5" s="1">
        <v>62</v>
      </c>
      <c r="K5" s="1">
        <v>96.875</v>
      </c>
      <c r="L5" s="1">
        <v>7</v>
      </c>
      <c r="M5" s="1">
        <v>10.9375</v>
      </c>
      <c r="N5" s="1">
        <v>7</v>
      </c>
      <c r="O5" s="1">
        <v>10.9375</v>
      </c>
      <c r="P5" s="1">
        <v>-7.53171428571429</v>
      </c>
      <c r="Q5" s="1">
        <f t="shared" si="0"/>
        <v>-52.722</v>
      </c>
      <c r="R5" s="1">
        <v>-7.413</v>
      </c>
      <c r="S5" s="1">
        <v>-8.952</v>
      </c>
      <c r="T5" s="1">
        <v>-6.827</v>
      </c>
      <c r="U5" s="1">
        <v>-5.68971428571429</v>
      </c>
      <c r="V5" s="1">
        <v>-5.457</v>
      </c>
      <c r="W5" s="1">
        <v>-5.85528571428571</v>
      </c>
      <c r="X5" s="1">
        <v>-5.745</v>
      </c>
      <c r="Y5" s="1">
        <v>0.30066009830143</v>
      </c>
      <c r="Z5" s="1">
        <v>0.245946228870951</v>
      </c>
      <c r="AA5" s="1">
        <v>0.67</v>
      </c>
      <c r="AB5" s="1">
        <v>0.67</v>
      </c>
      <c r="AC5" s="1">
        <v>0.187381998094128</v>
      </c>
      <c r="AD5" s="1">
        <v>0.192244563573492</v>
      </c>
      <c r="AE5" s="1">
        <v>0.764764694937121</v>
      </c>
      <c r="AF5" s="1">
        <v>0.804352003545422</v>
      </c>
      <c r="AG5" s="1" t="s">
        <v>51</v>
      </c>
      <c r="AH5" s="1">
        <v>0.814743131264514</v>
      </c>
      <c r="AI5" s="1">
        <v>0.797041998484034</v>
      </c>
      <c r="AJ5" s="1" t="s">
        <v>51</v>
      </c>
      <c r="AK5" s="1">
        <v>0.807311503561671</v>
      </c>
      <c r="AL5" s="1">
        <v>0.80182807636849</v>
      </c>
      <c r="AM5" s="1">
        <v>0.334163730014455</v>
      </c>
      <c r="AN5" s="1">
        <v>0.662520151455483</v>
      </c>
      <c r="AO5" s="1">
        <v>6</v>
      </c>
    </row>
    <row r="6" s="1" customFormat="1" spans="1:41">
      <c r="A6" s="1" t="s">
        <v>52</v>
      </c>
      <c r="B6" s="1" t="s">
        <v>59</v>
      </c>
      <c r="C6" s="1">
        <v>289.523844</v>
      </c>
      <c r="D6" s="1" t="s">
        <v>60</v>
      </c>
      <c r="E6" s="1" t="s">
        <v>44</v>
      </c>
      <c r="F6" s="1" t="s">
        <v>45</v>
      </c>
      <c r="G6" s="1" t="s">
        <v>46</v>
      </c>
      <c r="H6" s="1">
        <v>8</v>
      </c>
      <c r="I6" s="1">
        <v>64</v>
      </c>
      <c r="J6" s="1">
        <v>62</v>
      </c>
      <c r="K6" s="1">
        <v>96.875</v>
      </c>
      <c r="L6" s="1">
        <v>47</v>
      </c>
      <c r="M6" s="1">
        <v>73.4375</v>
      </c>
      <c r="N6" s="1">
        <v>47</v>
      </c>
      <c r="O6" s="1">
        <v>73.4375</v>
      </c>
      <c r="P6" s="1">
        <v>-5.69306382978723</v>
      </c>
      <c r="Q6" s="1">
        <f t="shared" si="0"/>
        <v>-267.574</v>
      </c>
      <c r="R6" s="1">
        <v>-5.6</v>
      </c>
      <c r="S6" s="1">
        <v>-8.866</v>
      </c>
      <c r="T6" s="1">
        <v>-4.836</v>
      </c>
      <c r="U6" s="1">
        <v>-4.32023404255319</v>
      </c>
      <c r="V6" s="1">
        <v>-4.306</v>
      </c>
      <c r="W6" s="1">
        <v>-4.69212765957447</v>
      </c>
      <c r="X6" s="1">
        <v>-4.676</v>
      </c>
      <c r="Y6" s="1">
        <v>0.432943857702835</v>
      </c>
      <c r="Z6" s="1">
        <v>0.453572041815671</v>
      </c>
      <c r="AA6" s="1">
        <v>0.762258064516129</v>
      </c>
      <c r="AB6" s="1">
        <v>0.81</v>
      </c>
      <c r="AC6" s="1">
        <v>0.152985832294912</v>
      </c>
      <c r="AD6" s="1">
        <v>0.149008937310616</v>
      </c>
      <c r="AE6" s="1">
        <v>0.770618826281678</v>
      </c>
      <c r="AF6" s="1">
        <v>0.809000816502131</v>
      </c>
      <c r="AG6" s="1">
        <v>0.818415695452566</v>
      </c>
      <c r="AH6" s="1">
        <v>0.817069457151081</v>
      </c>
      <c r="AI6" s="1">
        <v>0.828347520933493</v>
      </c>
      <c r="AJ6" s="1">
        <v>0.815201512346534</v>
      </c>
      <c r="AK6" s="1">
        <v>0.815588223013012</v>
      </c>
      <c r="AL6" s="1">
        <v>0.82031033444886</v>
      </c>
      <c r="AM6" s="1">
        <v>0.506966684832513</v>
      </c>
      <c r="AN6" s="1">
        <v>0.683559525416849</v>
      </c>
      <c r="AO6" s="1">
        <v>34</v>
      </c>
    </row>
    <row r="7" s="1" customFormat="1" spans="1:41">
      <c r="A7" s="1" t="s">
        <v>61</v>
      </c>
      <c r="B7" s="1" t="s">
        <v>62</v>
      </c>
      <c r="C7" s="1">
        <v>297.346315</v>
      </c>
      <c r="D7" s="1" t="s">
        <v>63</v>
      </c>
      <c r="E7" s="1" t="s">
        <v>64</v>
      </c>
      <c r="F7" s="1" t="s">
        <v>45</v>
      </c>
      <c r="G7" s="1" t="s">
        <v>46</v>
      </c>
      <c r="H7" s="1">
        <v>8</v>
      </c>
      <c r="I7" s="1">
        <v>64</v>
      </c>
      <c r="J7" s="1">
        <v>58</v>
      </c>
      <c r="K7" s="1">
        <v>90.625</v>
      </c>
      <c r="L7" s="1">
        <v>11</v>
      </c>
      <c r="M7" s="1">
        <v>17.1875</v>
      </c>
      <c r="N7" s="1">
        <v>11</v>
      </c>
      <c r="O7" s="1">
        <v>17.1875</v>
      </c>
      <c r="P7" s="1">
        <v>-8.995</v>
      </c>
      <c r="Q7" s="1">
        <f t="shared" si="0"/>
        <v>-98.945</v>
      </c>
      <c r="R7" s="1">
        <v>-8.622</v>
      </c>
      <c r="S7" s="1">
        <v>-10.597</v>
      </c>
      <c r="T7" s="1">
        <v>-7.598</v>
      </c>
      <c r="U7" s="1">
        <v>-6.71745454545455</v>
      </c>
      <c r="V7" s="1">
        <v>-6.672</v>
      </c>
      <c r="W7" s="1">
        <v>-6.97572727272727</v>
      </c>
      <c r="X7" s="1">
        <v>-6.681</v>
      </c>
      <c r="Y7" s="1">
        <v>0.236900267969026</v>
      </c>
      <c r="Z7" s="1">
        <v>0.224445546411845</v>
      </c>
      <c r="AA7" s="1">
        <v>0.627931034482759</v>
      </c>
      <c r="AB7" s="1">
        <v>0.63</v>
      </c>
      <c r="AC7" s="1">
        <v>0.25289484836259</v>
      </c>
      <c r="AD7" s="1">
        <v>0.262059540946061</v>
      </c>
      <c r="AE7" s="1">
        <v>0.750250984810608</v>
      </c>
      <c r="AF7" s="1">
        <v>0.7855228362979</v>
      </c>
      <c r="AG7" s="1">
        <v>0.75656647663164</v>
      </c>
      <c r="AH7" s="1">
        <v>0.787831941865412</v>
      </c>
      <c r="AI7" s="1">
        <v>0.830236492419554</v>
      </c>
      <c r="AJ7" s="1" t="s">
        <v>51</v>
      </c>
      <c r="AK7" s="1">
        <v>0.789524787349166</v>
      </c>
      <c r="AL7" s="1">
        <v>0.816553324749344</v>
      </c>
      <c r="AM7" s="1">
        <v>0.268782279372193</v>
      </c>
      <c r="AN7" s="1">
        <v>0.634881176455962</v>
      </c>
      <c r="AO7" s="1">
        <v>24</v>
      </c>
    </row>
    <row r="8" s="1" customFormat="1" spans="1:41">
      <c r="A8" s="1" t="s">
        <v>52</v>
      </c>
      <c r="B8" s="1" t="s">
        <v>65</v>
      </c>
      <c r="C8" s="1">
        <v>337.441478</v>
      </c>
      <c r="D8" s="1" t="s">
        <v>66</v>
      </c>
      <c r="E8" s="1" t="s">
        <v>67</v>
      </c>
      <c r="F8" s="1" t="s">
        <v>45</v>
      </c>
      <c r="G8" s="1" t="s">
        <v>46</v>
      </c>
      <c r="H8" s="1">
        <v>8</v>
      </c>
      <c r="I8" s="1">
        <v>64</v>
      </c>
      <c r="J8" s="1">
        <v>62</v>
      </c>
      <c r="K8" s="1">
        <v>96.875</v>
      </c>
      <c r="L8" s="1">
        <v>12</v>
      </c>
      <c r="M8" s="1">
        <v>18.75</v>
      </c>
      <c r="N8" s="1">
        <v>12</v>
      </c>
      <c r="O8" s="1">
        <v>18.75</v>
      </c>
      <c r="P8" s="1">
        <v>-7.18033333333333</v>
      </c>
      <c r="Q8" s="1">
        <f t="shared" si="0"/>
        <v>-86.164</v>
      </c>
      <c r="R8" s="1">
        <v>-6.925</v>
      </c>
      <c r="S8" s="1">
        <v>-8.675</v>
      </c>
      <c r="T8" s="1">
        <v>-5.577</v>
      </c>
      <c r="U8" s="1">
        <v>-4.61783333333333</v>
      </c>
      <c r="V8" s="1">
        <v>-4.7085</v>
      </c>
      <c r="W8" s="1">
        <v>-4.94083333333333</v>
      </c>
      <c r="X8" s="1">
        <v>-5.0635</v>
      </c>
      <c r="Y8" s="1">
        <v>0.231474939006693</v>
      </c>
      <c r="Z8" s="1">
        <v>0.208686810568186</v>
      </c>
      <c r="AA8" s="1">
        <v>0.615967741935484</v>
      </c>
      <c r="AB8" s="1">
        <v>0.605</v>
      </c>
      <c r="AC8" s="1">
        <v>0.166957434408794</v>
      </c>
      <c r="AD8" s="1">
        <v>0.149290122626705</v>
      </c>
      <c r="AE8" s="1">
        <v>0.743675487687412</v>
      </c>
      <c r="AF8" s="1">
        <v>0.796168766697838</v>
      </c>
      <c r="AG8" s="1" t="s">
        <v>51</v>
      </c>
      <c r="AH8" s="1">
        <v>0.812641023219847</v>
      </c>
      <c r="AI8" s="1">
        <v>0.814022786909554</v>
      </c>
      <c r="AJ8" s="1" t="s">
        <v>51</v>
      </c>
      <c r="AK8" s="1">
        <v>0.80511102561744</v>
      </c>
      <c r="AL8" s="1">
        <v>0.803261013355151</v>
      </c>
      <c r="AM8" s="1">
        <v>0.31418367632577</v>
      </c>
      <c r="AN8" s="1">
        <v>0.610425422000601</v>
      </c>
      <c r="AO8" s="1">
        <v>2</v>
      </c>
    </row>
    <row r="9" s="1" customFormat="1" spans="1:41">
      <c r="A9" s="1" t="s">
        <v>52</v>
      </c>
      <c r="B9" s="1" t="s">
        <v>68</v>
      </c>
      <c r="C9" s="1">
        <v>381.344004</v>
      </c>
      <c r="D9" s="1" t="s">
        <v>69</v>
      </c>
      <c r="E9" s="1" t="s">
        <v>70</v>
      </c>
      <c r="F9" s="1" t="s">
        <v>45</v>
      </c>
      <c r="G9" s="1" t="s">
        <v>46</v>
      </c>
      <c r="H9" s="1">
        <v>8</v>
      </c>
      <c r="I9" s="1">
        <v>64</v>
      </c>
      <c r="J9" s="1">
        <v>62</v>
      </c>
      <c r="K9" s="1">
        <v>96.875</v>
      </c>
      <c r="L9" s="1">
        <v>19</v>
      </c>
      <c r="M9" s="1">
        <v>29.6875</v>
      </c>
      <c r="N9" s="1">
        <v>19</v>
      </c>
      <c r="O9" s="1">
        <v>29.6875</v>
      </c>
      <c r="P9" s="1">
        <v>-5.52226315789474</v>
      </c>
      <c r="Q9" s="1">
        <f t="shared" si="0"/>
        <v>-104.923</v>
      </c>
      <c r="R9" s="1">
        <v>-5.595</v>
      </c>
      <c r="S9" s="1">
        <v>-6.797</v>
      </c>
      <c r="T9" s="1">
        <v>-4.389</v>
      </c>
      <c r="U9" s="1">
        <v>-2.676</v>
      </c>
      <c r="V9" s="1">
        <v>-2.563</v>
      </c>
      <c r="W9" s="1">
        <v>-2.87615789473684</v>
      </c>
      <c r="X9" s="1">
        <v>-2.736</v>
      </c>
      <c r="Y9" s="1">
        <v>0.38551871391933</v>
      </c>
      <c r="Z9" s="1">
        <v>0.346522658439389</v>
      </c>
      <c r="AA9" s="1">
        <v>0.679344262295082</v>
      </c>
      <c r="AB9" s="1">
        <v>0.68</v>
      </c>
      <c r="AC9" s="1">
        <v>0.26195391856016</v>
      </c>
      <c r="AD9" s="1">
        <v>0.256682529860021</v>
      </c>
      <c r="AE9" s="1">
        <v>0.752853714438932</v>
      </c>
      <c r="AF9" s="1">
        <v>0.807513342350095</v>
      </c>
      <c r="AG9" s="1" t="s">
        <v>51</v>
      </c>
      <c r="AH9" s="1">
        <v>0.805516787479657</v>
      </c>
      <c r="AI9" s="1" t="s">
        <v>51</v>
      </c>
      <c r="AJ9" s="1" t="s">
        <v>51</v>
      </c>
      <c r="AK9" s="1">
        <v>0.806766639220048</v>
      </c>
      <c r="AL9" s="1">
        <v>0.811325916594348</v>
      </c>
      <c r="AM9" s="1">
        <v>0.351917148221734</v>
      </c>
      <c r="AN9" s="1">
        <v>0.66006144004524</v>
      </c>
      <c r="AO9" s="1">
        <v>28</v>
      </c>
    </row>
    <row r="10" s="1" customFormat="1" spans="1:41">
      <c r="A10" s="1" t="s">
        <v>52</v>
      </c>
      <c r="B10" s="1" t="s">
        <v>71</v>
      </c>
      <c r="C10" s="1">
        <v>385.191306</v>
      </c>
      <c r="D10" s="1" t="s">
        <v>72</v>
      </c>
      <c r="E10" s="1" t="s">
        <v>73</v>
      </c>
      <c r="F10" s="1" t="s">
        <v>45</v>
      </c>
      <c r="G10" s="1" t="s">
        <v>46</v>
      </c>
      <c r="H10" s="1">
        <v>8</v>
      </c>
      <c r="I10" s="1">
        <v>64</v>
      </c>
      <c r="J10" s="1">
        <v>63</v>
      </c>
      <c r="K10" s="1">
        <v>98.4375</v>
      </c>
      <c r="L10" s="1">
        <v>37</v>
      </c>
      <c r="M10" s="1">
        <v>57.8125</v>
      </c>
      <c r="N10" s="1">
        <v>37</v>
      </c>
      <c r="O10" s="1">
        <v>57.8125</v>
      </c>
      <c r="P10" s="1">
        <v>-6.89513513513513</v>
      </c>
      <c r="Q10" s="1">
        <f t="shared" si="0"/>
        <v>-255.12</v>
      </c>
      <c r="R10" s="1">
        <v>-6.377</v>
      </c>
      <c r="S10" s="1">
        <v>-13.582</v>
      </c>
      <c r="T10" s="1">
        <v>-5.204</v>
      </c>
      <c r="U10" s="1">
        <v>-4.34289189189189</v>
      </c>
      <c r="V10" s="1">
        <v>-5.018</v>
      </c>
      <c r="W10" s="1">
        <v>-5.44524324324324</v>
      </c>
      <c r="X10" s="1">
        <v>-5.187</v>
      </c>
      <c r="Y10" s="1">
        <v>0.353552801979061</v>
      </c>
      <c r="Z10" s="1">
        <v>0.347210160326201</v>
      </c>
      <c r="AA10" s="1">
        <v>0.677301587301587</v>
      </c>
      <c r="AB10" s="1">
        <v>0.69</v>
      </c>
      <c r="AC10" s="1">
        <v>0.27564758852155</v>
      </c>
      <c r="AD10" s="1">
        <v>0.264719110427097</v>
      </c>
      <c r="AE10" s="1">
        <v>0.762637502601804</v>
      </c>
      <c r="AF10" s="1">
        <v>0.79974206933628</v>
      </c>
      <c r="AG10" s="1">
        <v>0.812376218056172</v>
      </c>
      <c r="AH10" s="1">
        <v>0.820951841826706</v>
      </c>
      <c r="AI10" s="1">
        <v>0.8187978668906</v>
      </c>
      <c r="AJ10" s="1" t="s">
        <v>51</v>
      </c>
      <c r="AK10" s="1">
        <v>0.815757635572443</v>
      </c>
      <c r="AL10" s="1">
        <v>0.801894522539006</v>
      </c>
      <c r="AM10" s="1">
        <v>0.425518398230055</v>
      </c>
      <c r="AN10" s="1">
        <v>0.656566135099804</v>
      </c>
      <c r="AO10" s="1">
        <v>8</v>
      </c>
    </row>
    <row r="11" s="1" customFormat="1" spans="1:41">
      <c r="A11" s="1" t="s">
        <v>52</v>
      </c>
      <c r="B11" s="1" t="s">
        <v>74</v>
      </c>
      <c r="C11" s="1">
        <v>407.613501</v>
      </c>
      <c r="D11" s="1" t="s">
        <v>75</v>
      </c>
      <c r="E11" s="1" t="s">
        <v>76</v>
      </c>
      <c r="F11" s="1" t="s">
        <v>45</v>
      </c>
      <c r="G11" s="1" t="s">
        <v>46</v>
      </c>
      <c r="H11" s="1">
        <v>8</v>
      </c>
      <c r="I11" s="1">
        <v>64</v>
      </c>
      <c r="J11" s="1">
        <v>64</v>
      </c>
      <c r="K11" s="1">
        <v>100</v>
      </c>
      <c r="L11" s="1">
        <v>11</v>
      </c>
      <c r="M11" s="1">
        <v>17.1875</v>
      </c>
      <c r="N11" s="1">
        <v>11</v>
      </c>
      <c r="O11" s="1">
        <v>17.1875</v>
      </c>
      <c r="P11" s="1">
        <v>-6.09136363636364</v>
      </c>
      <c r="Q11" s="1">
        <f t="shared" si="0"/>
        <v>-67.005</v>
      </c>
      <c r="R11" s="1">
        <v>-6.042</v>
      </c>
      <c r="S11" s="1">
        <v>-7.727</v>
      </c>
      <c r="T11" s="1">
        <v>-4.8</v>
      </c>
      <c r="U11" s="1">
        <v>-4.35736363636364</v>
      </c>
      <c r="V11" s="1">
        <v>-4.035</v>
      </c>
      <c r="W11" s="1">
        <v>-4.55081818181818</v>
      </c>
      <c r="X11" s="1">
        <v>-4.191</v>
      </c>
      <c r="Y11" s="1">
        <v>0.294318158149076</v>
      </c>
      <c r="Z11" s="1">
        <v>0.269674209526626</v>
      </c>
      <c r="AA11" s="1">
        <v>0.70109375</v>
      </c>
      <c r="AB11" s="1">
        <v>0.71</v>
      </c>
      <c r="AC11" s="1">
        <v>0.200331947946641</v>
      </c>
      <c r="AD11" s="1">
        <v>0.199686898168267</v>
      </c>
      <c r="AE11" s="1">
        <v>0.750226796594708</v>
      </c>
      <c r="AF11" s="1">
        <v>0.79788355919467</v>
      </c>
      <c r="AG11" s="1">
        <v>0.720240080091207</v>
      </c>
      <c r="AH11" s="1">
        <v>0.80043954533985</v>
      </c>
      <c r="AI11" s="1">
        <v>0.829405972356801</v>
      </c>
      <c r="AJ11" s="1" t="s">
        <v>51</v>
      </c>
      <c r="AK11" s="1">
        <v>0.807162449806238</v>
      </c>
      <c r="AL11" s="1">
        <v>0.786624361030269</v>
      </c>
      <c r="AM11" s="1">
        <v>0.300061806793906</v>
      </c>
      <c r="AN11" s="1">
        <v>0.629035758519307</v>
      </c>
      <c r="AO11" s="1">
        <v>18</v>
      </c>
    </row>
    <row r="12" s="1" customFormat="1" spans="1:41">
      <c r="A12" s="1" t="s">
        <v>52</v>
      </c>
      <c r="B12" s="1" t="s">
        <v>77</v>
      </c>
      <c r="C12" s="1">
        <v>447.58321</v>
      </c>
      <c r="D12" s="1" t="s">
        <v>78</v>
      </c>
      <c r="E12" s="1" t="s">
        <v>79</v>
      </c>
      <c r="F12" s="1" t="s">
        <v>45</v>
      </c>
      <c r="G12" s="1" t="s">
        <v>46</v>
      </c>
      <c r="H12" s="1">
        <v>8</v>
      </c>
      <c r="I12" s="1">
        <v>64</v>
      </c>
      <c r="J12" s="1">
        <v>63</v>
      </c>
      <c r="K12" s="1">
        <v>98.4375</v>
      </c>
      <c r="L12" s="1">
        <v>54</v>
      </c>
      <c r="M12" s="1">
        <v>84.375</v>
      </c>
      <c r="N12" s="1">
        <v>54</v>
      </c>
      <c r="O12" s="1">
        <v>84.375</v>
      </c>
      <c r="P12" s="1">
        <v>-4.80072222222222</v>
      </c>
      <c r="Q12" s="1">
        <f t="shared" si="0"/>
        <v>-259.239</v>
      </c>
      <c r="R12" s="1">
        <v>-4.689</v>
      </c>
      <c r="S12" s="1">
        <v>-6.963</v>
      </c>
      <c r="T12" s="1">
        <v>-3.932</v>
      </c>
      <c r="U12" s="1">
        <v>-2.97931481481482</v>
      </c>
      <c r="V12" s="1">
        <v>-3.069</v>
      </c>
      <c r="W12" s="1">
        <v>-3.32157407407407</v>
      </c>
      <c r="X12" s="1">
        <v>-3.508</v>
      </c>
      <c r="Y12" s="1">
        <v>0.45510959892458</v>
      </c>
      <c r="Z12" s="1">
        <v>0.515873411855363</v>
      </c>
      <c r="AA12" s="1">
        <v>0.761587301587302</v>
      </c>
      <c r="AB12" s="1">
        <v>0.79</v>
      </c>
      <c r="AC12" s="1">
        <v>0.253332451079763</v>
      </c>
      <c r="AD12" s="1">
        <v>0.253631034776465</v>
      </c>
      <c r="AE12" s="1">
        <v>0.772902099036899</v>
      </c>
      <c r="AF12" s="1">
        <v>0.807713594131267</v>
      </c>
      <c r="AG12" s="1">
        <v>0.771539319036671</v>
      </c>
      <c r="AH12" s="1">
        <v>0.812233323139764</v>
      </c>
      <c r="AI12" s="1">
        <v>0.825306573758</v>
      </c>
      <c r="AJ12" s="1" t="s">
        <v>51</v>
      </c>
      <c r="AK12" s="1">
        <v>0.817494702709978</v>
      </c>
      <c r="AL12" s="1">
        <v>0.817236151149018</v>
      </c>
      <c r="AM12" s="1">
        <v>0.476195711243838</v>
      </c>
      <c r="AN12" s="1">
        <v>0.683662395157827</v>
      </c>
      <c r="AO12" s="1">
        <v>14</v>
      </c>
    </row>
    <row r="13" s="1" customFormat="1" spans="1:41">
      <c r="A13" s="1" t="s">
        <v>52</v>
      </c>
      <c r="B13" s="1" t="s">
        <v>80</v>
      </c>
      <c r="C13" s="1">
        <v>564.028855</v>
      </c>
      <c r="D13" s="1" t="s">
        <v>81</v>
      </c>
      <c r="E13" s="1" t="s">
        <v>82</v>
      </c>
      <c r="F13" s="1" t="s">
        <v>45</v>
      </c>
      <c r="G13" s="1" t="s">
        <v>46</v>
      </c>
      <c r="H13" s="1">
        <v>8</v>
      </c>
      <c r="I13" s="1">
        <v>64</v>
      </c>
      <c r="J13" s="1">
        <v>63</v>
      </c>
      <c r="K13" s="1">
        <v>98.4375</v>
      </c>
      <c r="L13" s="1">
        <v>19</v>
      </c>
      <c r="M13" s="1">
        <v>29.6875</v>
      </c>
      <c r="N13" s="1">
        <v>19</v>
      </c>
      <c r="O13" s="1">
        <v>29.6875</v>
      </c>
      <c r="P13" s="1">
        <v>-9.41231578947368</v>
      </c>
      <c r="Q13" s="1">
        <f t="shared" si="0"/>
        <v>-178.834</v>
      </c>
      <c r="R13" s="1">
        <v>-9.653</v>
      </c>
      <c r="S13" s="1">
        <v>-11.383</v>
      </c>
      <c r="T13" s="1">
        <v>-7.159</v>
      </c>
      <c r="U13" s="1">
        <v>-7.42705263157895</v>
      </c>
      <c r="V13" s="1">
        <v>-7.581</v>
      </c>
      <c r="W13" s="1">
        <v>-7.52752631578948</v>
      </c>
      <c r="X13" s="1">
        <v>-7.791</v>
      </c>
      <c r="Y13" s="1">
        <v>0.192202412137495</v>
      </c>
      <c r="Z13" s="1">
        <v>0.18706837405908</v>
      </c>
      <c r="AA13" s="1">
        <v>0.563387096774194</v>
      </c>
      <c r="AB13" s="1">
        <v>0.57</v>
      </c>
      <c r="AC13" s="1">
        <v>0.154509394401469</v>
      </c>
      <c r="AD13" s="1">
        <v>0.146730026838157</v>
      </c>
      <c r="AE13" s="1">
        <v>0.745355426898366</v>
      </c>
      <c r="AF13" s="1">
        <v>0.807063416843523</v>
      </c>
      <c r="AG13" s="1" t="s">
        <v>51</v>
      </c>
      <c r="AH13" s="1">
        <v>0.782889271203353</v>
      </c>
      <c r="AI13" s="1">
        <v>0.812013125824384</v>
      </c>
      <c r="AJ13" s="1" t="s">
        <v>51</v>
      </c>
      <c r="AK13" s="1">
        <v>0.809414170989168</v>
      </c>
      <c r="AL13" s="1">
        <v>0.805596591467674</v>
      </c>
      <c r="AM13" s="1">
        <v>0.270917620925058</v>
      </c>
      <c r="AN13" s="1">
        <v>0.634420467504349</v>
      </c>
      <c r="AO13" s="1">
        <v>0</v>
      </c>
    </row>
    <row r="14" s="1" customFormat="1" spans="1:41">
      <c r="A14" s="1" t="s">
        <v>52</v>
      </c>
      <c r="B14" s="1" t="s">
        <v>83</v>
      </c>
      <c r="C14" s="1">
        <v>601.582897</v>
      </c>
      <c r="D14" s="1" t="s">
        <v>84</v>
      </c>
      <c r="E14" s="1" t="s">
        <v>85</v>
      </c>
      <c r="F14" s="1" t="s">
        <v>45</v>
      </c>
      <c r="G14" s="1" t="s">
        <v>46</v>
      </c>
      <c r="H14" s="1">
        <v>8</v>
      </c>
      <c r="I14" s="1">
        <v>64</v>
      </c>
      <c r="J14" s="1">
        <v>63</v>
      </c>
      <c r="K14" s="1">
        <v>98.4375</v>
      </c>
      <c r="L14" s="1">
        <v>55</v>
      </c>
      <c r="M14" s="1">
        <v>85.9375</v>
      </c>
      <c r="N14" s="1">
        <v>55</v>
      </c>
      <c r="O14" s="1">
        <v>85.9375</v>
      </c>
      <c r="P14" s="1">
        <v>-3.91090909090909</v>
      </c>
      <c r="Q14" s="1">
        <f t="shared" si="0"/>
        <v>-215.1</v>
      </c>
      <c r="R14" s="1">
        <v>-3.693</v>
      </c>
      <c r="S14" s="1">
        <v>-7.226</v>
      </c>
      <c r="T14" s="1">
        <v>-3.245</v>
      </c>
      <c r="U14" s="1">
        <v>-1.33565454545454</v>
      </c>
      <c r="V14" s="1">
        <v>-1.428</v>
      </c>
      <c r="W14" s="1">
        <v>-1.95183636363636</v>
      </c>
      <c r="X14" s="1">
        <v>-1.822</v>
      </c>
      <c r="Y14" s="1">
        <v>0.398622990520631</v>
      </c>
      <c r="Z14" s="1">
        <v>0.403352466290165</v>
      </c>
      <c r="AA14" s="1">
        <v>0.655079365079365</v>
      </c>
      <c r="AB14" s="1">
        <v>0.65</v>
      </c>
      <c r="AC14" s="1">
        <v>0.278572617261656</v>
      </c>
      <c r="AD14" s="1">
        <v>0.269814250507131</v>
      </c>
      <c r="AE14" s="1">
        <v>0.796503731936084</v>
      </c>
      <c r="AF14" s="1">
        <v>0.812309714642552</v>
      </c>
      <c r="AG14" s="1">
        <v>0.775554860744291</v>
      </c>
      <c r="AH14" s="1">
        <v>0.812363731676715</v>
      </c>
      <c r="AI14" s="1">
        <v>0.820884924861774</v>
      </c>
      <c r="AJ14" s="1" t="s">
        <v>51</v>
      </c>
      <c r="AK14" s="1">
        <v>0.81844692598239</v>
      </c>
      <c r="AL14" s="1">
        <v>0.816102063907963</v>
      </c>
      <c r="AM14" s="1">
        <v>0.481985943952906</v>
      </c>
      <c r="AN14" s="1" t="s">
        <v>51</v>
      </c>
      <c r="AO14" s="1">
        <v>38</v>
      </c>
    </row>
    <row r="15" s="1" customFormat="1" spans="1:41">
      <c r="A15" s="1" t="s">
        <v>52</v>
      </c>
      <c r="B15" s="1" t="s">
        <v>86</v>
      </c>
      <c r="C15" s="1">
        <v>643.694586</v>
      </c>
      <c r="D15" s="1" t="s">
        <v>87</v>
      </c>
      <c r="E15" s="1" t="s">
        <v>88</v>
      </c>
      <c r="F15" s="1" t="s">
        <v>45</v>
      </c>
      <c r="G15" s="1" t="s">
        <v>46</v>
      </c>
      <c r="H15" s="1">
        <v>8</v>
      </c>
      <c r="I15" s="1">
        <v>64</v>
      </c>
      <c r="J15" s="1">
        <v>61</v>
      </c>
      <c r="K15" s="1">
        <v>95.3125</v>
      </c>
      <c r="L15" s="1">
        <v>20</v>
      </c>
      <c r="M15" s="1">
        <v>31.25</v>
      </c>
      <c r="N15" s="1">
        <v>20</v>
      </c>
      <c r="O15" s="1">
        <v>31.25</v>
      </c>
      <c r="P15" s="1">
        <v>-8.8695</v>
      </c>
      <c r="Q15" s="1">
        <f t="shared" si="0"/>
        <v>-177.39</v>
      </c>
      <c r="R15" s="1">
        <v>-8.7595</v>
      </c>
      <c r="S15" s="1">
        <v>-10.737</v>
      </c>
      <c r="T15" s="1">
        <v>-6.707</v>
      </c>
      <c r="U15" s="1">
        <v>-6.4515</v>
      </c>
      <c r="V15" s="1">
        <v>-6.5945</v>
      </c>
      <c r="W15" s="1">
        <v>-6.7451</v>
      </c>
      <c r="X15" s="1">
        <v>-6.8025</v>
      </c>
      <c r="Y15" s="1">
        <v>0.180546961237814</v>
      </c>
      <c r="Z15" s="1">
        <v>0.156274163881544</v>
      </c>
      <c r="AA15" s="1">
        <v>0.558852459016393</v>
      </c>
      <c r="AB15" s="1">
        <v>0.55</v>
      </c>
      <c r="AC15" s="1">
        <v>0.17223472327705</v>
      </c>
      <c r="AD15" s="1">
        <v>0.165470572081861</v>
      </c>
      <c r="AE15" s="1">
        <v>0.763400484173391</v>
      </c>
      <c r="AF15" s="1">
        <v>0.809260733999393</v>
      </c>
      <c r="AG15" s="1">
        <v>0.764500763830558</v>
      </c>
      <c r="AH15" s="1">
        <v>0.78302923311519</v>
      </c>
      <c r="AI15" s="1">
        <v>0.820270852387369</v>
      </c>
      <c r="AJ15" s="1">
        <v>0.702187378041857</v>
      </c>
      <c r="AK15" s="1">
        <v>0.821881809765069</v>
      </c>
      <c r="AL15" s="1">
        <v>0.824180291852738</v>
      </c>
      <c r="AM15" s="1">
        <v>0.255468809083457</v>
      </c>
      <c r="AN15" s="1">
        <v>0.662092146572485</v>
      </c>
      <c r="AO15" s="1">
        <v>10</v>
      </c>
    </row>
    <row r="16" s="1" customFormat="1" spans="1:41">
      <c r="A16" s="1" t="s">
        <v>52</v>
      </c>
      <c r="B16" s="1" t="s">
        <v>89</v>
      </c>
      <c r="C16" s="1">
        <v>675.989293</v>
      </c>
      <c r="D16" s="1" t="s">
        <v>90</v>
      </c>
      <c r="E16" s="1" t="s">
        <v>91</v>
      </c>
      <c r="F16" s="1" t="s">
        <v>45</v>
      </c>
      <c r="G16" s="1" t="s">
        <v>46</v>
      </c>
      <c r="H16" s="1">
        <v>8</v>
      </c>
      <c r="I16" s="1">
        <v>64</v>
      </c>
      <c r="J16" s="1">
        <v>62</v>
      </c>
      <c r="K16" s="1">
        <v>96.875</v>
      </c>
      <c r="L16" s="1">
        <v>36</v>
      </c>
      <c r="M16" s="1">
        <v>56.25</v>
      </c>
      <c r="N16" s="1">
        <v>36</v>
      </c>
      <c r="O16" s="1">
        <v>56.25</v>
      </c>
      <c r="P16" s="1">
        <v>-9.58402777777778</v>
      </c>
      <c r="Q16" s="1">
        <f t="shared" si="0"/>
        <v>-345.025</v>
      </c>
      <c r="R16" s="1">
        <v>-9.7505</v>
      </c>
      <c r="S16" s="1">
        <v>-13.359</v>
      </c>
      <c r="T16" s="1">
        <v>-4.604</v>
      </c>
      <c r="U16" s="1">
        <v>-8.50652777777778</v>
      </c>
      <c r="V16" s="1">
        <v>-8.6</v>
      </c>
      <c r="W16" s="1">
        <v>-8.83361111111111</v>
      </c>
      <c r="X16" s="1">
        <v>-9.008</v>
      </c>
      <c r="Y16" s="1">
        <v>0.221617569295307</v>
      </c>
      <c r="Z16" s="1">
        <v>0.223286956896489</v>
      </c>
      <c r="AA16" s="1">
        <v>0.575967741935484</v>
      </c>
      <c r="AB16" s="1">
        <v>0.56</v>
      </c>
      <c r="AC16" s="1">
        <v>0.270636907361533</v>
      </c>
      <c r="AD16" s="1">
        <v>0.275281823913917</v>
      </c>
      <c r="AE16" s="1">
        <v>0.753017827122251</v>
      </c>
      <c r="AF16" s="1">
        <v>0.804002688765606</v>
      </c>
      <c r="AG16" s="1">
        <v>0.816736476835656</v>
      </c>
      <c r="AH16" s="1">
        <v>0.78557177190097</v>
      </c>
      <c r="AI16" s="1">
        <v>0.804185957237301</v>
      </c>
      <c r="AJ16" s="1">
        <v>0.774246493282177</v>
      </c>
      <c r="AK16" s="1">
        <v>0.817123949058454</v>
      </c>
      <c r="AL16" s="1">
        <v>0.807662501919566</v>
      </c>
      <c r="AM16" s="1">
        <v>0.318882158756029</v>
      </c>
      <c r="AN16" s="1">
        <v>0.641088556421772</v>
      </c>
      <c r="AO16" s="1">
        <v>4</v>
      </c>
    </row>
    <row r="17" s="1" customFormat="1" spans="1:41">
      <c r="A17" s="1" t="s">
        <v>62</v>
      </c>
      <c r="B17" s="1" t="s">
        <v>92</v>
      </c>
      <c r="C17" s="1">
        <v>381.906704</v>
      </c>
      <c r="D17" s="1" t="s">
        <v>93</v>
      </c>
      <c r="E17" s="1" t="s">
        <v>50</v>
      </c>
      <c r="F17" s="1" t="s">
        <v>45</v>
      </c>
      <c r="G17" s="1" t="s">
        <v>46</v>
      </c>
      <c r="H17" s="1">
        <v>8</v>
      </c>
      <c r="I17" s="1">
        <v>64</v>
      </c>
      <c r="J17" s="1">
        <v>64</v>
      </c>
      <c r="K17" s="1">
        <v>100</v>
      </c>
      <c r="L17" s="1">
        <v>43</v>
      </c>
      <c r="M17" s="1">
        <v>67.1875</v>
      </c>
      <c r="N17" s="1">
        <v>43</v>
      </c>
      <c r="O17" s="1">
        <v>67.1875</v>
      </c>
      <c r="P17" s="1">
        <v>-8.54051162790698</v>
      </c>
      <c r="Q17" s="1">
        <f t="shared" si="0"/>
        <v>-367.242</v>
      </c>
      <c r="R17" s="1">
        <v>-8.378</v>
      </c>
      <c r="S17" s="1">
        <v>-11.374</v>
      </c>
      <c r="T17" s="1">
        <v>-6.708</v>
      </c>
      <c r="U17" s="1">
        <v>-7.51444186046512</v>
      </c>
      <c r="V17" s="1">
        <v>-7.557</v>
      </c>
      <c r="W17" s="1">
        <v>-7.94527906976744</v>
      </c>
      <c r="X17" s="1">
        <v>-7.773</v>
      </c>
      <c r="Y17" s="1">
        <v>0.274978598123057</v>
      </c>
      <c r="Z17" s="1">
        <v>0.238233078003039</v>
      </c>
      <c r="AA17" s="1">
        <v>0.57703125</v>
      </c>
      <c r="AB17" s="1">
        <v>0.58</v>
      </c>
      <c r="AC17" s="1">
        <v>0.253374798143192</v>
      </c>
      <c r="AD17" s="1">
        <v>0.262152120797967</v>
      </c>
      <c r="AE17" s="1">
        <v>0.796055732306019</v>
      </c>
      <c r="AF17" s="1">
        <v>0.81740887056534</v>
      </c>
      <c r="AG17" s="1" t="s">
        <v>51</v>
      </c>
      <c r="AH17" s="1">
        <v>0.791605450020276</v>
      </c>
      <c r="AI17" s="1">
        <v>0.807191576452095</v>
      </c>
      <c r="AJ17" s="1" t="s">
        <v>51</v>
      </c>
      <c r="AK17" s="1">
        <v>0.821427086242027</v>
      </c>
      <c r="AL17" s="1">
        <v>0.824715926419752</v>
      </c>
      <c r="AM17" s="1">
        <v>0.430048933918392</v>
      </c>
      <c r="AN17" s="1">
        <v>0.716843067344194</v>
      </c>
      <c r="AO17" s="1">
        <v>35</v>
      </c>
    </row>
    <row r="18" s="1" customFormat="1" spans="1:41">
      <c r="A18" s="1" t="s">
        <v>94</v>
      </c>
      <c r="B18" s="1" t="s">
        <v>95</v>
      </c>
      <c r="C18" s="1">
        <v>347.740513</v>
      </c>
      <c r="D18" s="1" t="s">
        <v>96</v>
      </c>
      <c r="E18" s="1" t="s">
        <v>97</v>
      </c>
      <c r="F18" s="1" t="s">
        <v>45</v>
      </c>
      <c r="G18" s="1" t="s">
        <v>46</v>
      </c>
      <c r="H18" s="1">
        <v>8</v>
      </c>
      <c r="I18" s="1">
        <v>64</v>
      </c>
      <c r="J18" s="1">
        <v>60</v>
      </c>
      <c r="K18" s="1">
        <v>93.75</v>
      </c>
      <c r="L18" s="1">
        <v>22</v>
      </c>
      <c r="M18" s="1">
        <v>34.375</v>
      </c>
      <c r="N18" s="1">
        <v>22</v>
      </c>
      <c r="O18" s="1">
        <v>34.375</v>
      </c>
      <c r="P18" s="1">
        <v>-6.15759090909091</v>
      </c>
      <c r="Q18" s="1">
        <f t="shared" si="0"/>
        <v>-135.467</v>
      </c>
      <c r="R18" s="1">
        <v>-6.2655</v>
      </c>
      <c r="S18" s="1">
        <v>-7.508</v>
      </c>
      <c r="T18" s="1">
        <v>-4.445</v>
      </c>
      <c r="U18" s="1">
        <v>-3.64418181818182</v>
      </c>
      <c r="V18" s="1">
        <v>-3.6525</v>
      </c>
      <c r="W18" s="1">
        <v>-4.2705</v>
      </c>
      <c r="X18" s="1">
        <v>-4.191</v>
      </c>
      <c r="Y18" s="1">
        <v>0.291947053486249</v>
      </c>
      <c r="Z18" s="1">
        <v>0.303590701463086</v>
      </c>
      <c r="AA18" s="1">
        <v>0.679830508474576</v>
      </c>
      <c r="AB18" s="1">
        <v>0.69</v>
      </c>
      <c r="AC18" s="1">
        <v>0.266163082509984</v>
      </c>
      <c r="AD18" s="1">
        <v>0.27520217042124</v>
      </c>
      <c r="AE18" s="1">
        <v>0.777689912803001</v>
      </c>
      <c r="AF18" s="1">
        <v>0.819595144613442</v>
      </c>
      <c r="AG18" s="1" t="s">
        <v>51</v>
      </c>
      <c r="AH18" s="1">
        <v>0.803979791959891</v>
      </c>
      <c r="AI18" s="1">
        <v>0.824956186410285</v>
      </c>
      <c r="AJ18" s="1" t="s">
        <v>51</v>
      </c>
      <c r="AK18" s="1">
        <v>0.803429669060775</v>
      </c>
      <c r="AL18" s="1">
        <v>0.798838373976121</v>
      </c>
      <c r="AM18" s="1">
        <v>0.378605743741969</v>
      </c>
      <c r="AN18" s="1">
        <v>0.697436986099069</v>
      </c>
      <c r="AO18" s="1">
        <v>29</v>
      </c>
    </row>
    <row r="19" s="1" customFormat="1" spans="1:41">
      <c r="A19" s="1" t="s">
        <v>98</v>
      </c>
      <c r="B19" s="1" t="s">
        <v>99</v>
      </c>
      <c r="C19" s="1">
        <v>193.760174</v>
      </c>
      <c r="D19" s="1" t="s">
        <v>100</v>
      </c>
      <c r="E19" s="1" t="s">
        <v>101</v>
      </c>
      <c r="F19" s="1" t="s">
        <v>45</v>
      </c>
      <c r="G19" s="1" t="s">
        <v>46</v>
      </c>
      <c r="H19" s="1">
        <v>8</v>
      </c>
      <c r="I19" s="1">
        <v>64</v>
      </c>
      <c r="J19" s="1">
        <v>63</v>
      </c>
      <c r="K19" s="1">
        <v>98.4375</v>
      </c>
      <c r="L19" s="1">
        <v>7</v>
      </c>
      <c r="M19" s="1">
        <v>10.9375</v>
      </c>
      <c r="N19" s="1">
        <v>7</v>
      </c>
      <c r="O19" s="1">
        <v>10.9375</v>
      </c>
      <c r="P19" s="1">
        <v>-6.01671428571428</v>
      </c>
      <c r="Q19" s="1">
        <f t="shared" si="0"/>
        <v>-42.117</v>
      </c>
      <c r="R19" s="1">
        <v>-5.686</v>
      </c>
      <c r="S19" s="1">
        <v>-8.102</v>
      </c>
      <c r="T19" s="1">
        <v>-4.433</v>
      </c>
      <c r="U19" s="1">
        <v>-4.50385714285714</v>
      </c>
      <c r="V19" s="1">
        <v>-4.608</v>
      </c>
      <c r="W19" s="1">
        <v>-4.75014285714286</v>
      </c>
      <c r="X19" s="1">
        <v>-4.84</v>
      </c>
      <c r="Y19" s="1">
        <v>0.313985733211182</v>
      </c>
      <c r="Z19" s="1">
        <v>0.308923993239475</v>
      </c>
      <c r="AA19" s="1">
        <v>0.668888888888889</v>
      </c>
      <c r="AB19" s="1">
        <v>0.68</v>
      </c>
      <c r="AC19" s="1">
        <v>0.255892974802176</v>
      </c>
      <c r="AD19" s="1">
        <v>0.253789038494238</v>
      </c>
      <c r="AE19" s="1">
        <v>0.781545218847616</v>
      </c>
      <c r="AF19" s="1">
        <v>0.811440716057994</v>
      </c>
      <c r="AG19" s="1" t="s">
        <v>51</v>
      </c>
      <c r="AH19" s="1">
        <v>0.832528748476409</v>
      </c>
      <c r="AI19" s="1">
        <v>0.822679455587468</v>
      </c>
      <c r="AJ19" s="1" t="s">
        <v>51</v>
      </c>
      <c r="AK19" s="1">
        <v>0.811972288249446</v>
      </c>
      <c r="AL19" s="1">
        <v>0.806565815245461</v>
      </c>
      <c r="AM19" s="1">
        <v>0.412009023832077</v>
      </c>
      <c r="AN19" s="1">
        <v>0.693774159415732</v>
      </c>
      <c r="AO19" s="1">
        <v>1</v>
      </c>
    </row>
    <row r="20" s="1" customFormat="1" spans="1:41">
      <c r="A20" s="1" t="s">
        <v>102</v>
      </c>
      <c r="B20" s="1" t="s">
        <v>103</v>
      </c>
      <c r="C20" s="1">
        <v>425.806274</v>
      </c>
      <c r="D20" s="1" t="s">
        <v>104</v>
      </c>
      <c r="E20" s="1" t="s">
        <v>105</v>
      </c>
      <c r="F20" s="1" t="s">
        <v>45</v>
      </c>
      <c r="G20" s="1" t="s">
        <v>46</v>
      </c>
      <c r="H20" s="1">
        <v>8</v>
      </c>
      <c r="I20" s="1">
        <v>64</v>
      </c>
      <c r="J20" s="1">
        <v>63</v>
      </c>
      <c r="K20" s="1">
        <v>98.4375</v>
      </c>
      <c r="L20" s="1">
        <v>37</v>
      </c>
      <c r="M20" s="1">
        <v>57.8125</v>
      </c>
      <c r="N20" s="1">
        <v>37</v>
      </c>
      <c r="O20" s="1">
        <v>57.8125</v>
      </c>
      <c r="P20" s="1">
        <v>-5.99310810810811</v>
      </c>
      <c r="Q20" s="1">
        <f t="shared" si="0"/>
        <v>-221.745</v>
      </c>
      <c r="R20" s="1">
        <v>-5.776</v>
      </c>
      <c r="S20" s="1">
        <v>-7.912</v>
      </c>
      <c r="T20" s="1">
        <v>-4.637</v>
      </c>
      <c r="U20" s="1">
        <v>-3.73748648648649</v>
      </c>
      <c r="V20" s="1">
        <v>-3.71</v>
      </c>
      <c r="W20" s="1">
        <v>-4.04886486486487</v>
      </c>
      <c r="X20" s="1">
        <v>-3.947</v>
      </c>
      <c r="Y20" s="1">
        <v>0.41506770357102</v>
      </c>
      <c r="Z20" s="1">
        <v>0.445796551344356</v>
      </c>
      <c r="AA20" s="1">
        <v>0.783387096774194</v>
      </c>
      <c r="AB20" s="1">
        <v>0.83</v>
      </c>
      <c r="AC20" s="1">
        <v>0.233908856419507</v>
      </c>
      <c r="AD20" s="1">
        <v>0.245042433253394</v>
      </c>
      <c r="AE20" s="1">
        <v>0.75481718677976</v>
      </c>
      <c r="AF20" s="1">
        <v>0.817529915374573</v>
      </c>
      <c r="AG20" s="1">
        <v>0.830092892736004</v>
      </c>
      <c r="AH20" s="1">
        <v>0.822401343824441</v>
      </c>
      <c r="AI20" s="1">
        <v>0.832226614445515</v>
      </c>
      <c r="AJ20" s="1">
        <v>0.778242172513274</v>
      </c>
      <c r="AK20" s="1">
        <v>0.809935901284291</v>
      </c>
      <c r="AL20" s="1">
        <v>0.807936111535267</v>
      </c>
      <c r="AM20" s="1">
        <v>0.399039588984479</v>
      </c>
      <c r="AN20" s="1">
        <v>0.652982630742379</v>
      </c>
      <c r="AO20" s="1">
        <v>3</v>
      </c>
    </row>
    <row r="21" s="1" customFormat="1" spans="1:41">
      <c r="A21" s="1" t="s">
        <v>106</v>
      </c>
      <c r="B21" s="1" t="s">
        <v>107</v>
      </c>
      <c r="C21" s="1">
        <v>540.12939</v>
      </c>
      <c r="D21" s="1" t="s">
        <v>108</v>
      </c>
      <c r="E21" s="1" t="s">
        <v>109</v>
      </c>
      <c r="F21" s="1" t="s">
        <v>45</v>
      </c>
      <c r="G21" s="1" t="s">
        <v>46</v>
      </c>
      <c r="H21" s="1">
        <v>8</v>
      </c>
      <c r="I21" s="1">
        <v>64</v>
      </c>
      <c r="J21" s="1">
        <v>62</v>
      </c>
      <c r="K21" s="1">
        <v>96.875</v>
      </c>
      <c r="L21" s="1">
        <v>11</v>
      </c>
      <c r="M21" s="1">
        <v>17.1875</v>
      </c>
      <c r="N21" s="1">
        <v>11</v>
      </c>
      <c r="O21" s="1">
        <v>17.1875</v>
      </c>
      <c r="P21" s="1">
        <v>-8.65736363636364</v>
      </c>
      <c r="Q21" s="1">
        <f t="shared" si="0"/>
        <v>-95.231</v>
      </c>
      <c r="R21" s="1">
        <v>-8.811</v>
      </c>
      <c r="S21" s="1">
        <v>-11.006</v>
      </c>
      <c r="T21" s="1">
        <v>-6.69</v>
      </c>
      <c r="U21" s="1">
        <v>-6.44954545454546</v>
      </c>
      <c r="V21" s="1">
        <v>-6.037</v>
      </c>
      <c r="W21" s="1">
        <v>-6.69727272727273</v>
      </c>
      <c r="X21" s="1">
        <v>-6.694</v>
      </c>
      <c r="Y21" s="1">
        <v>0.100305002915071</v>
      </c>
      <c r="Z21" s="1">
        <v>0.0826456579674709</v>
      </c>
      <c r="AA21" s="1">
        <v>0.520322580645161</v>
      </c>
      <c r="AB21" s="1">
        <v>0.51</v>
      </c>
      <c r="AC21" s="1">
        <v>0.210446414537232</v>
      </c>
      <c r="AD21" s="1">
        <v>0.209941102005356</v>
      </c>
      <c r="AE21" s="1">
        <v>0.737117038362637</v>
      </c>
      <c r="AF21" s="1">
        <v>0.8025420505228</v>
      </c>
      <c r="AG21" s="1">
        <v>0.794355066185882</v>
      </c>
      <c r="AH21" s="1">
        <v>0.792544136100101</v>
      </c>
      <c r="AI21" s="1">
        <v>0.821674577413248</v>
      </c>
      <c r="AJ21" s="1">
        <v>0.809528443049289</v>
      </c>
      <c r="AK21" s="1">
        <v>0.805930675861097</v>
      </c>
      <c r="AL21" s="1">
        <v>0.822023627027731</v>
      </c>
      <c r="AM21" s="1">
        <v>0.27806006229926</v>
      </c>
      <c r="AN21" s="1">
        <v>0.619451591992044</v>
      </c>
      <c r="AO21" s="1">
        <v>7</v>
      </c>
    </row>
    <row r="22" s="1" customFormat="1" spans="1:41">
      <c r="A22" s="1" t="s">
        <v>52</v>
      </c>
      <c r="B22" s="1" t="s">
        <v>110</v>
      </c>
      <c r="C22" s="1">
        <v>814.420727</v>
      </c>
      <c r="D22" s="1" t="s">
        <v>111</v>
      </c>
      <c r="E22" s="1" t="s">
        <v>112</v>
      </c>
      <c r="F22" s="1" t="s">
        <v>45</v>
      </c>
      <c r="G22" s="1" t="s">
        <v>46</v>
      </c>
      <c r="H22" s="1">
        <v>8</v>
      </c>
      <c r="I22" s="1">
        <v>64</v>
      </c>
      <c r="J22" s="1">
        <v>64</v>
      </c>
      <c r="K22" s="1">
        <v>100</v>
      </c>
      <c r="L22" s="1">
        <v>32</v>
      </c>
      <c r="M22" s="1">
        <v>50</v>
      </c>
      <c r="N22" s="1">
        <v>32</v>
      </c>
      <c r="O22" s="1">
        <v>50</v>
      </c>
      <c r="P22" s="1">
        <v>-9.60625</v>
      </c>
      <c r="Q22" s="1">
        <f t="shared" si="0"/>
        <v>-307.4</v>
      </c>
      <c r="R22" s="1">
        <v>-9.884</v>
      </c>
      <c r="S22" s="1">
        <v>-11.572</v>
      </c>
      <c r="T22" s="1">
        <v>-6.259</v>
      </c>
      <c r="U22" s="1">
        <v>16.34734375</v>
      </c>
      <c r="V22" s="1">
        <v>21.8015</v>
      </c>
      <c r="W22" s="1">
        <v>7.32953125</v>
      </c>
      <c r="X22" s="1">
        <v>5.129</v>
      </c>
      <c r="Y22" s="1">
        <v>0.184426433818988</v>
      </c>
      <c r="Z22" s="1">
        <v>0.160856773193723</v>
      </c>
      <c r="AA22" s="1">
        <v>0.63390625</v>
      </c>
      <c r="AB22" s="1">
        <v>0.64</v>
      </c>
      <c r="AC22" s="1">
        <v>0.279398519820761</v>
      </c>
      <c r="AD22" s="1">
        <v>0.272841639113359</v>
      </c>
      <c r="AE22" s="1">
        <v>0.738525336637699</v>
      </c>
      <c r="AF22" s="1">
        <v>0.792047040744019</v>
      </c>
      <c r="AG22" s="1">
        <v>0.789366985976603</v>
      </c>
      <c r="AH22" s="1">
        <v>0.805028777009959</v>
      </c>
      <c r="AI22" s="1">
        <v>0.809712508828067</v>
      </c>
      <c r="AJ22" s="1" t="s">
        <v>51</v>
      </c>
      <c r="AK22" s="1">
        <v>0.807499611158682</v>
      </c>
      <c r="AL22" s="1">
        <v>0.813115322352947</v>
      </c>
      <c r="AM22" s="1">
        <v>0.311786196986075</v>
      </c>
      <c r="AN22" s="1">
        <v>0.615114061804711</v>
      </c>
      <c r="AO22" s="1">
        <v>12</v>
      </c>
    </row>
    <row r="23" s="1" customFormat="1" spans="1:41">
      <c r="A23" s="1" t="s">
        <v>113</v>
      </c>
      <c r="B23" s="1" t="s">
        <v>114</v>
      </c>
      <c r="C23" s="1">
        <v>303.592986</v>
      </c>
      <c r="D23" s="1" t="s">
        <v>115</v>
      </c>
      <c r="E23" s="1" t="s">
        <v>116</v>
      </c>
      <c r="F23" s="1" t="s">
        <v>45</v>
      </c>
      <c r="G23" s="1" t="s">
        <v>46</v>
      </c>
      <c r="H23" s="1">
        <v>8</v>
      </c>
      <c r="I23" s="1">
        <v>64</v>
      </c>
      <c r="J23" s="1">
        <v>61</v>
      </c>
      <c r="K23" s="1">
        <v>95.3125</v>
      </c>
      <c r="L23" s="1">
        <v>19</v>
      </c>
      <c r="M23" s="1">
        <v>29.6875</v>
      </c>
      <c r="N23" s="1">
        <v>19</v>
      </c>
      <c r="O23" s="1">
        <v>29.6875</v>
      </c>
      <c r="P23" s="1">
        <v>-6.16789473684211</v>
      </c>
      <c r="Q23" s="1">
        <f t="shared" si="0"/>
        <v>-117.19</v>
      </c>
      <c r="R23" s="1">
        <v>-5.892</v>
      </c>
      <c r="S23" s="1">
        <v>-8.868</v>
      </c>
      <c r="T23" s="1">
        <v>-4.206</v>
      </c>
      <c r="U23" s="1">
        <v>-4.24673684210526</v>
      </c>
      <c r="V23" s="1">
        <v>-4.194</v>
      </c>
      <c r="W23" s="1">
        <v>-4.69915789473684</v>
      </c>
      <c r="X23" s="1">
        <v>-4.506</v>
      </c>
      <c r="Y23" s="1">
        <v>0.375685597133897</v>
      </c>
      <c r="Z23" s="1">
        <v>0.34785619712245</v>
      </c>
      <c r="AA23" s="1">
        <v>0.671475409836065</v>
      </c>
      <c r="AB23" s="1">
        <v>0.67</v>
      </c>
      <c r="AC23" s="1">
        <v>0.207780248197087</v>
      </c>
      <c r="AD23" s="1">
        <v>0.206976735817218</v>
      </c>
      <c r="AE23" s="1">
        <v>0.775205764043143</v>
      </c>
      <c r="AF23" s="1">
        <v>0.806162495592175</v>
      </c>
      <c r="AG23" s="1" t="s">
        <v>51</v>
      </c>
      <c r="AH23" s="1">
        <v>0.800637898173629</v>
      </c>
      <c r="AI23" s="1">
        <v>0.798765714239014</v>
      </c>
      <c r="AJ23" s="1" t="s">
        <v>51</v>
      </c>
      <c r="AK23" s="1">
        <v>0.792141060767181</v>
      </c>
      <c r="AL23" s="1">
        <v>0.81416108197594</v>
      </c>
      <c r="AM23" s="1">
        <v>0.371008187794946</v>
      </c>
      <c r="AN23" s="1">
        <v>0.674278539726937</v>
      </c>
      <c r="AO23" s="1">
        <v>15</v>
      </c>
    </row>
    <row r="24" s="1" customFormat="1" spans="1:41">
      <c r="A24" s="1" t="s">
        <v>117</v>
      </c>
      <c r="B24" s="1" t="s">
        <v>118</v>
      </c>
      <c r="C24" s="1">
        <v>688.20624</v>
      </c>
      <c r="D24" s="1" t="s">
        <v>119</v>
      </c>
      <c r="E24" s="1" t="s">
        <v>120</v>
      </c>
      <c r="F24" s="1" t="s">
        <v>45</v>
      </c>
      <c r="G24" s="1" t="s">
        <v>46</v>
      </c>
      <c r="H24" s="1">
        <v>8</v>
      </c>
      <c r="I24" s="1">
        <v>64</v>
      </c>
      <c r="J24" s="1">
        <v>60</v>
      </c>
      <c r="K24" s="1">
        <v>93.75</v>
      </c>
      <c r="L24" s="1">
        <v>27</v>
      </c>
      <c r="M24" s="1">
        <v>42.1875</v>
      </c>
      <c r="N24" s="1">
        <v>27</v>
      </c>
      <c r="O24" s="1">
        <v>42.1875</v>
      </c>
      <c r="P24" s="1">
        <v>-8.02362962962963</v>
      </c>
      <c r="Q24" s="1">
        <f t="shared" si="0"/>
        <v>-216.638</v>
      </c>
      <c r="R24" s="1">
        <v>-7.906</v>
      </c>
      <c r="S24" s="1">
        <v>-11.413</v>
      </c>
      <c r="T24" s="1">
        <v>-5.934</v>
      </c>
      <c r="U24" s="1">
        <v>-5.97474074074074</v>
      </c>
      <c r="V24" s="1">
        <v>-5.696</v>
      </c>
      <c r="W24" s="1">
        <v>-6.65877777777778</v>
      </c>
      <c r="X24" s="1">
        <v>-6.396</v>
      </c>
      <c r="Y24" s="1">
        <v>0.208684189647168</v>
      </c>
      <c r="Z24" s="1">
        <v>0.169330591786323</v>
      </c>
      <c r="AA24" s="1">
        <v>0.58</v>
      </c>
      <c r="AB24" s="1">
        <v>0.57</v>
      </c>
      <c r="AC24" s="1">
        <v>0.224956491302132</v>
      </c>
      <c r="AD24" s="1">
        <v>0.242202205696784</v>
      </c>
      <c r="AE24" s="1">
        <v>0.743969435231847</v>
      </c>
      <c r="AF24" s="1">
        <v>0.809607643480939</v>
      </c>
      <c r="AG24" s="1">
        <v>0.773926766848878</v>
      </c>
      <c r="AH24" s="1">
        <v>0.800733494198145</v>
      </c>
      <c r="AI24" s="1">
        <v>0.799570345049332</v>
      </c>
      <c r="AJ24" s="1" t="s">
        <v>51</v>
      </c>
      <c r="AK24" s="1">
        <v>0.797648798475264</v>
      </c>
      <c r="AL24" s="1">
        <v>0.80725923782816</v>
      </c>
      <c r="AM24" s="1">
        <v>0.267773309971119</v>
      </c>
      <c r="AN24" s="1">
        <v>0.619832683873837</v>
      </c>
      <c r="AO24" s="1">
        <v>17</v>
      </c>
    </row>
    <row r="25" s="1" customFormat="1" spans="1:41">
      <c r="A25" s="1" t="s">
        <v>52</v>
      </c>
      <c r="B25" s="1" t="s">
        <v>121</v>
      </c>
      <c r="C25" s="1">
        <v>896.235623</v>
      </c>
      <c r="D25" s="1" t="s">
        <v>122</v>
      </c>
      <c r="E25" s="1" t="s">
        <v>123</v>
      </c>
      <c r="F25" s="1" t="s">
        <v>45</v>
      </c>
      <c r="G25" s="1" t="s">
        <v>46</v>
      </c>
      <c r="H25" s="1">
        <v>8</v>
      </c>
      <c r="I25" s="1">
        <v>64</v>
      </c>
      <c r="J25" s="1">
        <v>63</v>
      </c>
      <c r="K25" s="1">
        <v>98.4375</v>
      </c>
      <c r="L25" s="1">
        <v>43</v>
      </c>
      <c r="M25" s="1">
        <v>67.1875</v>
      </c>
      <c r="N25" s="1">
        <v>43</v>
      </c>
      <c r="O25" s="1">
        <v>67.1875</v>
      </c>
      <c r="P25" s="1">
        <v>-6.68297674418605</v>
      </c>
      <c r="Q25" s="1">
        <f t="shared" si="0"/>
        <v>-287.368</v>
      </c>
      <c r="R25" s="1">
        <v>-6.498</v>
      </c>
      <c r="S25" s="1">
        <v>-9.182</v>
      </c>
      <c r="T25" s="1">
        <v>-4.981</v>
      </c>
      <c r="U25" s="1">
        <v>-1.40874418604651</v>
      </c>
      <c r="V25" s="1">
        <v>-2.008</v>
      </c>
      <c r="W25" s="1">
        <v>-2.70253488372093</v>
      </c>
      <c r="X25" s="1">
        <v>-2.644</v>
      </c>
      <c r="Y25" s="1">
        <v>0.290009913762333</v>
      </c>
      <c r="Z25" s="1">
        <v>0.260591286445041</v>
      </c>
      <c r="AA25" s="1">
        <v>0.613968253968254</v>
      </c>
      <c r="AB25" s="1">
        <v>0.61</v>
      </c>
      <c r="AC25" s="1">
        <v>0.242698911266524</v>
      </c>
      <c r="AD25" s="1">
        <v>0.249680070150598</v>
      </c>
      <c r="AE25" s="1">
        <v>0.720572043598356</v>
      </c>
      <c r="AF25" s="1">
        <v>0.784295909806081</v>
      </c>
      <c r="AG25" s="1">
        <v>0.782334371570913</v>
      </c>
      <c r="AH25" s="1">
        <v>0.799337912108933</v>
      </c>
      <c r="AI25" s="1">
        <v>0.821600781331433</v>
      </c>
      <c r="AJ25" s="1" t="s">
        <v>51</v>
      </c>
      <c r="AK25" s="1">
        <v>0.793562343945494</v>
      </c>
      <c r="AL25" s="1">
        <v>0.813166404843384</v>
      </c>
      <c r="AM25" s="1">
        <v>0.316877589706966</v>
      </c>
      <c r="AN25" s="1">
        <v>0.590729418808827</v>
      </c>
      <c r="AO25" s="1">
        <v>20</v>
      </c>
    </row>
    <row r="26" s="1" customFormat="1" spans="1:41">
      <c r="A26" s="1" t="s">
        <v>124</v>
      </c>
      <c r="B26" s="1" t="s">
        <v>125</v>
      </c>
      <c r="C26" s="1">
        <v>641.92243</v>
      </c>
      <c r="D26" s="1" t="s">
        <v>126</v>
      </c>
      <c r="E26" s="1" t="s">
        <v>127</v>
      </c>
      <c r="F26" s="1" t="s">
        <v>45</v>
      </c>
      <c r="G26" s="1" t="s">
        <v>46</v>
      </c>
      <c r="H26" s="1">
        <v>8</v>
      </c>
      <c r="I26" s="1">
        <v>64</v>
      </c>
      <c r="J26" s="1">
        <v>63</v>
      </c>
      <c r="K26" s="1">
        <v>98.4375</v>
      </c>
      <c r="L26" s="1">
        <v>38</v>
      </c>
      <c r="M26" s="1">
        <v>59.375</v>
      </c>
      <c r="N26" s="1">
        <v>38</v>
      </c>
      <c r="O26" s="1">
        <v>59.375</v>
      </c>
      <c r="P26" s="1">
        <v>-6.47765789473684</v>
      </c>
      <c r="Q26" s="1">
        <f t="shared" si="0"/>
        <v>-246.151</v>
      </c>
      <c r="R26" s="1">
        <v>-6.088</v>
      </c>
      <c r="S26" s="1">
        <v>-10.078</v>
      </c>
      <c r="T26" s="1">
        <v>-4.967</v>
      </c>
      <c r="U26" s="1">
        <v>-4.42194736842105</v>
      </c>
      <c r="V26" s="1">
        <v>-4.4505</v>
      </c>
      <c r="W26" s="1">
        <v>-4.69710526315789</v>
      </c>
      <c r="X26" s="1">
        <v>-4.5815</v>
      </c>
      <c r="Y26" s="1">
        <v>0.366462402071283</v>
      </c>
      <c r="Z26" s="1">
        <v>0.351380923310414</v>
      </c>
      <c r="AA26" s="1">
        <v>0.725873015873016</v>
      </c>
      <c r="AB26" s="1">
        <v>0.74</v>
      </c>
      <c r="AC26" s="1">
        <v>0.174603740914239</v>
      </c>
      <c r="AD26" s="1">
        <v>0.163277455855609</v>
      </c>
      <c r="AE26" s="1">
        <v>0.758875730498568</v>
      </c>
      <c r="AF26" s="1">
        <v>0.815793698289716</v>
      </c>
      <c r="AG26" s="1" t="s">
        <v>51</v>
      </c>
      <c r="AH26" s="1">
        <v>0.804047767828318</v>
      </c>
      <c r="AI26" s="1">
        <v>0.824196081775881</v>
      </c>
      <c r="AJ26" s="1" t="s">
        <v>51</v>
      </c>
      <c r="AK26" s="1">
        <v>0.811869208497309</v>
      </c>
      <c r="AL26" s="1">
        <v>0.8209279291765</v>
      </c>
      <c r="AM26" s="1">
        <v>0.39685170528528</v>
      </c>
      <c r="AN26" s="1">
        <v>0.666710131468991</v>
      </c>
      <c r="AO26" s="1">
        <v>25</v>
      </c>
    </row>
    <row r="27" s="1" customFormat="1" spans="1:41">
      <c r="A27" s="1" t="s">
        <v>128</v>
      </c>
      <c r="B27" s="1" t="s">
        <v>129</v>
      </c>
      <c r="C27" s="1">
        <v>279.690156</v>
      </c>
      <c r="D27" s="1" t="s">
        <v>130</v>
      </c>
      <c r="E27" s="1" t="s">
        <v>131</v>
      </c>
      <c r="F27" s="1" t="s">
        <v>45</v>
      </c>
      <c r="G27" s="1" t="s">
        <v>46</v>
      </c>
      <c r="H27" s="1">
        <v>8</v>
      </c>
      <c r="I27" s="1">
        <v>64</v>
      </c>
      <c r="J27" s="1">
        <v>58</v>
      </c>
      <c r="K27" s="1">
        <v>90.625</v>
      </c>
      <c r="L27" s="1">
        <v>23</v>
      </c>
      <c r="M27" s="1">
        <v>35.9375</v>
      </c>
      <c r="N27" s="1">
        <v>23</v>
      </c>
      <c r="O27" s="1">
        <v>35.9375</v>
      </c>
      <c r="P27" s="1">
        <v>-5.32082608695652</v>
      </c>
      <c r="Q27" s="1">
        <f t="shared" si="0"/>
        <v>-122.379</v>
      </c>
      <c r="R27" s="1">
        <v>-5.155</v>
      </c>
      <c r="S27" s="1">
        <v>-6.888</v>
      </c>
      <c r="T27" s="1">
        <v>-3.95</v>
      </c>
      <c r="U27" s="1">
        <v>-2.35278260869565</v>
      </c>
      <c r="V27" s="1">
        <v>-2.265</v>
      </c>
      <c r="W27" s="1">
        <v>-2.73795652173913</v>
      </c>
      <c r="X27" s="1">
        <v>-2.615</v>
      </c>
      <c r="Y27" s="1">
        <v>0.381087874520262</v>
      </c>
      <c r="Z27" s="1">
        <v>0.368948984183367</v>
      </c>
      <c r="AA27" s="1">
        <v>0.648448275862069</v>
      </c>
      <c r="AB27" s="1">
        <v>0.64</v>
      </c>
      <c r="AC27" s="1">
        <v>0.263052886310773</v>
      </c>
      <c r="AD27" s="1">
        <v>0.258401294199351</v>
      </c>
      <c r="AE27" s="1">
        <v>0.784314095363542</v>
      </c>
      <c r="AF27" s="1">
        <v>0.816103895726461</v>
      </c>
      <c r="AG27" s="1">
        <v>0.805434155815375</v>
      </c>
      <c r="AH27" s="1" t="s">
        <v>51</v>
      </c>
      <c r="AI27" s="1">
        <v>0.832554611157698</v>
      </c>
      <c r="AJ27" s="1" t="s">
        <v>51</v>
      </c>
      <c r="AK27" s="1">
        <v>0.805862927315816</v>
      </c>
      <c r="AL27" s="1">
        <v>0.811620103750203</v>
      </c>
      <c r="AM27" s="1">
        <v>0.425148411266653</v>
      </c>
      <c r="AN27" s="1">
        <v>0.687252940024637</v>
      </c>
      <c r="AO27" s="1">
        <v>5</v>
      </c>
    </row>
    <row r="28" s="1" customFormat="1" spans="1:41">
      <c r="A28" s="1" t="s">
        <v>132</v>
      </c>
      <c r="B28" s="1" t="s">
        <v>133</v>
      </c>
      <c r="C28" s="1">
        <v>243.600218</v>
      </c>
      <c r="D28" s="1" t="s">
        <v>134</v>
      </c>
      <c r="E28" s="1" t="s">
        <v>135</v>
      </c>
      <c r="F28" s="1" t="s">
        <v>45</v>
      </c>
      <c r="G28" s="1" t="s">
        <v>46</v>
      </c>
      <c r="H28" s="1">
        <v>8</v>
      </c>
      <c r="I28" s="1">
        <v>64</v>
      </c>
      <c r="J28" s="1">
        <v>60</v>
      </c>
      <c r="K28" s="1">
        <v>93.75</v>
      </c>
      <c r="L28" s="1">
        <v>10</v>
      </c>
      <c r="M28" s="1">
        <v>15.625</v>
      </c>
      <c r="N28" s="1">
        <v>10</v>
      </c>
      <c r="O28" s="1">
        <v>15.625</v>
      </c>
      <c r="P28" s="1">
        <v>-10.5859</v>
      </c>
      <c r="Q28" s="1">
        <f t="shared" si="0"/>
        <v>-105.859</v>
      </c>
      <c r="R28" s="1">
        <v>-10.533</v>
      </c>
      <c r="S28" s="1">
        <v>-14.169</v>
      </c>
      <c r="T28" s="1">
        <v>-8.037</v>
      </c>
      <c r="U28" s="1">
        <v>-7.5554</v>
      </c>
      <c r="V28" s="1">
        <v>-7.8105</v>
      </c>
      <c r="W28" s="1">
        <v>-8.9159</v>
      </c>
      <c r="X28" s="1">
        <v>-8.701</v>
      </c>
      <c r="Y28" s="1">
        <v>0.225598909625088</v>
      </c>
      <c r="Z28" s="1">
        <v>0.2088514391997</v>
      </c>
      <c r="AA28" s="1">
        <v>0.626</v>
      </c>
      <c r="AB28" s="1">
        <v>0.62</v>
      </c>
      <c r="AC28" s="1">
        <v>0.238671381728538</v>
      </c>
      <c r="AD28" s="1">
        <v>0.232548359118732</v>
      </c>
      <c r="AE28" s="1">
        <v>0.758984046472086</v>
      </c>
      <c r="AF28" s="1">
        <v>0.803159038398356</v>
      </c>
      <c r="AG28" s="1">
        <v>0.8101861071699</v>
      </c>
      <c r="AH28" s="1">
        <v>0.795233109590211</v>
      </c>
      <c r="AI28" s="1">
        <v>0.797288791858925</v>
      </c>
      <c r="AJ28" s="1">
        <v>0.758868646506427</v>
      </c>
      <c r="AK28" s="1">
        <v>0.817952685907378</v>
      </c>
      <c r="AL28" s="1">
        <v>0.812110442189893</v>
      </c>
      <c r="AM28" s="1">
        <v>0.290700781058583</v>
      </c>
      <c r="AN28" s="1">
        <v>0.636954662148427</v>
      </c>
      <c r="AO28" s="1">
        <v>42</v>
      </c>
    </row>
    <row r="29" s="1" customFormat="1" spans="1:41">
      <c r="A29" s="1" t="s">
        <v>136</v>
      </c>
      <c r="B29" s="1" t="s">
        <v>137</v>
      </c>
      <c r="C29" s="1">
        <v>662.374331</v>
      </c>
      <c r="D29" s="1" t="s">
        <v>138</v>
      </c>
      <c r="E29" s="1" t="s">
        <v>139</v>
      </c>
      <c r="F29" s="1" t="s">
        <v>45</v>
      </c>
      <c r="G29" s="1" t="s">
        <v>46</v>
      </c>
      <c r="H29" s="1">
        <v>8</v>
      </c>
      <c r="I29" s="1">
        <v>64</v>
      </c>
      <c r="J29" s="1">
        <v>63</v>
      </c>
      <c r="K29" s="1">
        <v>98.4375</v>
      </c>
      <c r="L29" s="1">
        <v>25</v>
      </c>
      <c r="M29" s="1">
        <v>39.0625</v>
      </c>
      <c r="N29" s="1">
        <v>25</v>
      </c>
      <c r="O29" s="1">
        <v>39.0625</v>
      </c>
      <c r="P29" s="1">
        <v>-8.4274</v>
      </c>
      <c r="Q29" s="1">
        <f t="shared" si="0"/>
        <v>-210.685</v>
      </c>
      <c r="R29" s="1">
        <v>-8.355</v>
      </c>
      <c r="S29" s="1">
        <v>-9.816</v>
      </c>
      <c r="T29" s="1">
        <v>-6.787</v>
      </c>
      <c r="U29" s="1">
        <v>-6.41856</v>
      </c>
      <c r="V29" s="1">
        <v>-6.116</v>
      </c>
      <c r="W29" s="1">
        <v>-6.61832</v>
      </c>
      <c r="X29" s="1">
        <v>-6.414</v>
      </c>
      <c r="Y29" s="1">
        <v>0.217953210778232</v>
      </c>
      <c r="Z29" s="1">
        <v>0.184703966638202</v>
      </c>
      <c r="AA29" s="1">
        <v>0.624920634920635</v>
      </c>
      <c r="AB29" s="1">
        <v>0.61</v>
      </c>
      <c r="AC29" s="1">
        <v>0.148578773169783</v>
      </c>
      <c r="AD29" s="1">
        <v>0.141842959324724</v>
      </c>
      <c r="AE29" s="1">
        <v>0.748423189507931</v>
      </c>
      <c r="AF29" s="1">
        <v>0.805935092277535</v>
      </c>
      <c r="AG29" s="1" t="s">
        <v>51</v>
      </c>
      <c r="AH29" s="1">
        <v>0.790602059857993</v>
      </c>
      <c r="AI29" s="1">
        <v>0.823169174158156</v>
      </c>
      <c r="AJ29" s="1" t="s">
        <v>51</v>
      </c>
      <c r="AK29" s="1">
        <v>0.820457718668136</v>
      </c>
      <c r="AL29" s="1">
        <v>0.814946579035707</v>
      </c>
      <c r="AM29" s="1">
        <v>0.29335902786662</v>
      </c>
      <c r="AN29" s="1">
        <v>0.63004791639774</v>
      </c>
      <c r="AO29" s="1">
        <v>19</v>
      </c>
    </row>
    <row r="30" s="1" customFormat="1" spans="1:41">
      <c r="A30" s="1" t="s">
        <v>52</v>
      </c>
      <c r="B30" s="1" t="s">
        <v>140</v>
      </c>
      <c r="C30" s="1">
        <v>1106.231965</v>
      </c>
      <c r="D30" s="1" t="s">
        <v>141</v>
      </c>
      <c r="E30" s="1" t="s">
        <v>142</v>
      </c>
      <c r="F30" s="1" t="s">
        <v>45</v>
      </c>
      <c r="G30" s="1" t="s">
        <v>46</v>
      </c>
      <c r="H30" s="1">
        <v>8</v>
      </c>
      <c r="I30" s="1">
        <v>64</v>
      </c>
      <c r="J30" s="1">
        <v>56</v>
      </c>
      <c r="K30" s="1">
        <v>87.5</v>
      </c>
      <c r="L30" s="1">
        <v>40</v>
      </c>
      <c r="M30" s="1">
        <v>62.5</v>
      </c>
      <c r="N30" s="1">
        <v>40</v>
      </c>
      <c r="O30" s="1">
        <v>62.5</v>
      </c>
      <c r="P30" s="1">
        <v>-8.684275</v>
      </c>
      <c r="Q30" s="1">
        <f t="shared" si="0"/>
        <v>-347.371</v>
      </c>
      <c r="R30" s="1">
        <v>-8.5635</v>
      </c>
      <c r="S30" s="1">
        <v>-12.702</v>
      </c>
      <c r="T30" s="1">
        <v>-6.958</v>
      </c>
      <c r="U30" s="1">
        <v>-6.416725</v>
      </c>
      <c r="V30" s="1">
        <v>-6.3835</v>
      </c>
      <c r="W30" s="1">
        <v>-6.69755</v>
      </c>
      <c r="X30" s="1">
        <v>-6.663</v>
      </c>
      <c r="Y30" s="1">
        <v>0.137839089652291</v>
      </c>
      <c r="Z30" s="1">
        <v>0.112171729772918</v>
      </c>
      <c r="AA30" s="1">
        <v>0.544107142857143</v>
      </c>
      <c r="AB30" s="1">
        <v>0.53</v>
      </c>
      <c r="AC30" s="1">
        <v>0.170557778502743</v>
      </c>
      <c r="AD30" s="1">
        <v>0.161940818108582</v>
      </c>
      <c r="AE30" s="1">
        <v>0.745355547853082</v>
      </c>
      <c r="AF30" s="1">
        <v>0.805094640991684</v>
      </c>
      <c r="AG30" s="1">
        <v>0.784766330793002</v>
      </c>
      <c r="AH30" s="1">
        <v>0.790939015639583</v>
      </c>
      <c r="AI30" s="1">
        <v>0.808392118032524</v>
      </c>
      <c r="AJ30" s="1">
        <v>0.790822642152859</v>
      </c>
      <c r="AK30" s="1">
        <v>0.80074399339022</v>
      </c>
      <c r="AL30" s="1">
        <v>0.798355086357221</v>
      </c>
      <c r="AM30" s="1">
        <v>0.285317505568231</v>
      </c>
      <c r="AN30" s="1">
        <v>0.620400510067551</v>
      </c>
      <c r="AO30" s="1">
        <v>26</v>
      </c>
    </row>
    <row r="31" s="1" customFormat="1" spans="1:41">
      <c r="A31" s="1" t="s">
        <v>143</v>
      </c>
      <c r="B31" s="1" t="s">
        <v>144</v>
      </c>
      <c r="C31" s="1">
        <v>354.071329</v>
      </c>
      <c r="D31" s="1" t="s">
        <v>145</v>
      </c>
      <c r="E31" s="1" t="s">
        <v>146</v>
      </c>
      <c r="F31" s="1" t="s">
        <v>45</v>
      </c>
      <c r="G31" s="1" t="s">
        <v>46</v>
      </c>
      <c r="H31" s="1">
        <v>8</v>
      </c>
      <c r="I31" s="1">
        <v>64</v>
      </c>
      <c r="J31" s="1">
        <v>63</v>
      </c>
      <c r="K31" s="1">
        <v>98.4375</v>
      </c>
      <c r="L31" s="1">
        <v>16</v>
      </c>
      <c r="M31" s="1">
        <v>25</v>
      </c>
      <c r="N31" s="1">
        <v>16</v>
      </c>
      <c r="O31" s="1">
        <v>25</v>
      </c>
      <c r="P31" s="1">
        <v>-7.333125</v>
      </c>
      <c r="Q31" s="1">
        <f t="shared" si="0"/>
        <v>-117.33</v>
      </c>
      <c r="R31" s="1">
        <v>-7.5185</v>
      </c>
      <c r="S31" s="1">
        <v>-8.251</v>
      </c>
      <c r="T31" s="1">
        <v>-5.665</v>
      </c>
      <c r="U31" s="1">
        <v>-5.4035625</v>
      </c>
      <c r="V31" s="1">
        <v>-5.239</v>
      </c>
      <c r="W31" s="1">
        <v>-5.741875</v>
      </c>
      <c r="X31" s="1">
        <v>-5.6705</v>
      </c>
      <c r="Y31" s="1">
        <v>0.216291309475482</v>
      </c>
      <c r="Z31" s="1">
        <v>0.2174135110244</v>
      </c>
      <c r="AA31" s="1">
        <v>0.631269841269841</v>
      </c>
      <c r="AB31" s="1">
        <v>0.62</v>
      </c>
      <c r="AC31" s="1">
        <v>0.225244964252889</v>
      </c>
      <c r="AD31" s="1">
        <v>0.207380196341362</v>
      </c>
      <c r="AE31" s="1">
        <v>0.77325519565229</v>
      </c>
      <c r="AF31" s="1">
        <v>0.815038797350748</v>
      </c>
      <c r="AG31" s="1" t="s">
        <v>51</v>
      </c>
      <c r="AH31" s="1">
        <v>0.793589680654971</v>
      </c>
      <c r="AI31" s="1">
        <v>0.806416296245023</v>
      </c>
      <c r="AJ31" s="1">
        <v>0.771442155308646</v>
      </c>
      <c r="AK31" s="1">
        <v>0.828299229307468</v>
      </c>
      <c r="AL31" s="1">
        <v>0.813450366079072</v>
      </c>
      <c r="AM31" s="1">
        <v>0.291077133231734</v>
      </c>
      <c r="AN31" s="1">
        <v>0.71210173052782</v>
      </c>
      <c r="AO31" s="1">
        <v>46</v>
      </c>
    </row>
    <row r="32" s="1" customFormat="1" spans="1:41">
      <c r="A32" s="1" t="s">
        <v>147</v>
      </c>
      <c r="B32" s="1" t="s">
        <v>148</v>
      </c>
      <c r="C32" s="1">
        <v>632.204085</v>
      </c>
      <c r="D32" s="1" t="s">
        <v>149</v>
      </c>
      <c r="E32" s="1" t="s">
        <v>150</v>
      </c>
      <c r="F32" s="1" t="s">
        <v>45</v>
      </c>
      <c r="G32" s="1" t="s">
        <v>46</v>
      </c>
      <c r="H32" s="1">
        <v>8</v>
      </c>
      <c r="I32" s="1">
        <v>64</v>
      </c>
      <c r="J32" s="1">
        <v>61</v>
      </c>
      <c r="K32" s="1">
        <v>95.3125</v>
      </c>
      <c r="L32" s="1">
        <v>22</v>
      </c>
      <c r="M32" s="1">
        <v>34.375</v>
      </c>
      <c r="N32" s="1">
        <v>22</v>
      </c>
      <c r="O32" s="1">
        <v>34.375</v>
      </c>
      <c r="P32" s="1">
        <v>-8.57868181818182</v>
      </c>
      <c r="Q32" s="1">
        <f t="shared" si="0"/>
        <v>-188.731</v>
      </c>
      <c r="R32" s="1">
        <v>-8.457</v>
      </c>
      <c r="S32" s="1">
        <v>-10.841</v>
      </c>
      <c r="T32" s="1">
        <v>-7.223</v>
      </c>
      <c r="U32" s="1">
        <v>-7.24240909090909</v>
      </c>
      <c r="V32" s="1">
        <v>-7.3215</v>
      </c>
      <c r="W32" s="1">
        <v>-7.50786363636364</v>
      </c>
      <c r="X32" s="1">
        <v>-7.514</v>
      </c>
      <c r="Y32" s="1">
        <v>0.143757247938673</v>
      </c>
      <c r="Z32" s="1">
        <v>0.112199984628085</v>
      </c>
      <c r="AA32" s="1">
        <v>0.575901639344262</v>
      </c>
      <c r="AB32" s="1">
        <v>0.58</v>
      </c>
      <c r="AC32" s="1">
        <v>0.169877889405013</v>
      </c>
      <c r="AD32" s="1">
        <v>0.169199214796026</v>
      </c>
      <c r="AE32" s="1">
        <v>0.749532155717537</v>
      </c>
      <c r="AF32" s="1">
        <v>0.814315004414651</v>
      </c>
      <c r="AG32" s="1">
        <v>0.831867947426059</v>
      </c>
      <c r="AH32" s="1">
        <v>0.797567104304033</v>
      </c>
      <c r="AI32" s="1">
        <v>0.814220267587138</v>
      </c>
      <c r="AJ32" s="1">
        <v>0.806051973840377</v>
      </c>
      <c r="AK32" s="1">
        <v>0.820329595337778</v>
      </c>
      <c r="AL32" s="1">
        <v>0.831090011720399</v>
      </c>
      <c r="AM32" s="1">
        <v>0.293174243354384</v>
      </c>
      <c r="AN32" s="1">
        <v>0.644809442672395</v>
      </c>
      <c r="AO32" s="1">
        <v>11</v>
      </c>
    </row>
    <row r="33" s="1" customFormat="1" spans="1:41">
      <c r="A33" s="1" t="s">
        <v>151</v>
      </c>
      <c r="B33" s="1" t="s">
        <v>152</v>
      </c>
      <c r="C33" s="1">
        <v>716.492994</v>
      </c>
      <c r="D33" s="1" t="s">
        <v>153</v>
      </c>
      <c r="E33" s="1" t="s">
        <v>154</v>
      </c>
      <c r="F33" s="1" t="s">
        <v>45</v>
      </c>
      <c r="G33" s="1" t="s">
        <v>46</v>
      </c>
      <c r="H33" s="1">
        <v>8</v>
      </c>
      <c r="I33" s="1">
        <v>64</v>
      </c>
      <c r="J33" s="1">
        <v>61</v>
      </c>
      <c r="K33" s="1">
        <v>95.3125</v>
      </c>
      <c r="L33" s="1">
        <v>43</v>
      </c>
      <c r="M33" s="1">
        <v>67.1875</v>
      </c>
      <c r="N33" s="1">
        <v>43</v>
      </c>
      <c r="O33" s="1">
        <v>67.1875</v>
      </c>
      <c r="P33" s="1">
        <v>-10.1670465116279</v>
      </c>
      <c r="Q33" s="1">
        <f t="shared" si="0"/>
        <v>-437.183</v>
      </c>
      <c r="R33" s="1">
        <v>-10.461</v>
      </c>
      <c r="S33" s="1">
        <v>-14.033</v>
      </c>
      <c r="T33" s="1">
        <v>-7.477</v>
      </c>
      <c r="U33" s="1">
        <v>0.747744186046511</v>
      </c>
      <c r="V33" s="1">
        <v>-6.38</v>
      </c>
      <c r="W33" s="1">
        <v>-7.52760465116279</v>
      </c>
      <c r="X33" s="1">
        <v>-7.754</v>
      </c>
      <c r="Y33" s="1">
        <v>0.25372417779781</v>
      </c>
      <c r="Z33" s="1">
        <v>0.216046206815873</v>
      </c>
      <c r="AA33" s="1">
        <v>0.646065573770492</v>
      </c>
      <c r="AB33" s="1">
        <v>0.63</v>
      </c>
      <c r="AC33" s="1">
        <v>0.266764281959373</v>
      </c>
      <c r="AD33" s="1">
        <v>0.275207648662138</v>
      </c>
      <c r="AE33" s="1">
        <v>0.736620310027964</v>
      </c>
      <c r="AF33" s="1">
        <v>0.799021386783675</v>
      </c>
      <c r="AG33" s="1">
        <v>0.807009202610261</v>
      </c>
      <c r="AH33" s="1">
        <v>0.795816078098979</v>
      </c>
      <c r="AI33" s="1">
        <v>0.815790377650555</v>
      </c>
      <c r="AJ33" s="1" t="s">
        <v>51</v>
      </c>
      <c r="AK33" s="1">
        <v>0.813196083212205</v>
      </c>
      <c r="AL33" s="1">
        <v>0.822506466527372</v>
      </c>
      <c r="AM33" s="1">
        <v>0.318392488570061</v>
      </c>
      <c r="AN33" s="1">
        <v>0.599512948340757</v>
      </c>
      <c r="AO33" s="1">
        <v>39</v>
      </c>
    </row>
    <row r="34" s="1" customFormat="1" spans="1:41">
      <c r="A34" s="1" t="s">
        <v>155</v>
      </c>
      <c r="B34" s="1" t="s">
        <v>156</v>
      </c>
      <c r="C34" s="1">
        <v>356.910397</v>
      </c>
      <c r="D34" s="1" t="s">
        <v>157</v>
      </c>
      <c r="E34" s="1" t="s">
        <v>158</v>
      </c>
      <c r="F34" s="1" t="s">
        <v>45</v>
      </c>
      <c r="G34" s="1" t="s">
        <v>46</v>
      </c>
      <c r="H34" s="1">
        <v>8</v>
      </c>
      <c r="I34" s="1">
        <v>64</v>
      </c>
      <c r="J34" s="1">
        <v>64</v>
      </c>
      <c r="K34" s="1">
        <v>100</v>
      </c>
      <c r="L34" s="1">
        <v>37</v>
      </c>
      <c r="M34" s="1">
        <v>57.8125</v>
      </c>
      <c r="N34" s="1">
        <v>37</v>
      </c>
      <c r="O34" s="1">
        <v>57.8125</v>
      </c>
      <c r="P34" s="1">
        <v>-5.8504054054054</v>
      </c>
      <c r="Q34" s="1">
        <f t="shared" si="0"/>
        <v>-216.465</v>
      </c>
      <c r="R34" s="1">
        <v>-5.824</v>
      </c>
      <c r="S34" s="1">
        <v>-10.735</v>
      </c>
      <c r="T34" s="1">
        <v>-4.272</v>
      </c>
      <c r="U34" s="1">
        <v>-2.93521621621622</v>
      </c>
      <c r="V34" s="1">
        <v>-3.319</v>
      </c>
      <c r="W34" s="1">
        <v>-3.76443243243243</v>
      </c>
      <c r="X34" s="1">
        <v>-3.684</v>
      </c>
      <c r="Y34" s="1">
        <v>0.40726882885728</v>
      </c>
      <c r="Z34" s="1">
        <v>0.4320870079733</v>
      </c>
      <c r="AA34" s="1">
        <v>0.74046875</v>
      </c>
      <c r="AB34" s="1">
        <v>0.75</v>
      </c>
      <c r="AC34" s="1">
        <v>0.216424955925958</v>
      </c>
      <c r="AD34" s="1">
        <v>0.205462839421662</v>
      </c>
      <c r="AE34" s="1">
        <v>0.783719167430213</v>
      </c>
      <c r="AF34" s="1">
        <v>0.810653998655995</v>
      </c>
      <c r="AG34" s="1" t="s">
        <v>51</v>
      </c>
      <c r="AH34" s="1">
        <v>0.806854152475642</v>
      </c>
      <c r="AI34" s="1">
        <v>0.80880919931338</v>
      </c>
      <c r="AJ34" s="1">
        <v>0.792932430754269</v>
      </c>
      <c r="AK34" s="1">
        <v>0.81944679664372</v>
      </c>
      <c r="AL34" s="1">
        <v>0.821556660532462</v>
      </c>
      <c r="AM34" s="1">
        <v>0.509872062712935</v>
      </c>
      <c r="AN34" s="1">
        <v>0.711898579121244</v>
      </c>
      <c r="AO34" s="1">
        <v>56</v>
      </c>
    </row>
    <row r="35" s="1" customFormat="1" spans="1:41">
      <c r="A35" s="1" t="s">
        <v>159</v>
      </c>
      <c r="B35" s="1" t="s">
        <v>160</v>
      </c>
      <c r="C35" s="1">
        <v>536.046464</v>
      </c>
      <c r="D35" s="1" t="s">
        <v>161</v>
      </c>
      <c r="E35" s="1" t="s">
        <v>162</v>
      </c>
      <c r="F35" s="1" t="s">
        <v>45</v>
      </c>
      <c r="G35" s="1" t="s">
        <v>46</v>
      </c>
      <c r="H35" s="1">
        <v>8</v>
      </c>
      <c r="I35" s="1">
        <v>64</v>
      </c>
      <c r="J35" s="1">
        <v>61</v>
      </c>
      <c r="K35" s="1">
        <v>95.3125</v>
      </c>
      <c r="L35" s="1">
        <v>17</v>
      </c>
      <c r="M35" s="1">
        <v>26.5625</v>
      </c>
      <c r="N35" s="1">
        <v>17</v>
      </c>
      <c r="O35" s="1">
        <v>26.5625</v>
      </c>
      <c r="P35" s="1">
        <v>-6.64370588235294</v>
      </c>
      <c r="Q35" s="1">
        <f t="shared" ref="Q35:Q66" si="1">PRODUCT(N35,P35)</f>
        <v>-112.943</v>
      </c>
      <c r="R35" s="1">
        <v>-6.761</v>
      </c>
      <c r="S35" s="1">
        <v>-7.418</v>
      </c>
      <c r="T35" s="1">
        <v>-5.024</v>
      </c>
      <c r="U35" s="1">
        <v>-5.06847058823529</v>
      </c>
      <c r="V35" s="1">
        <v>-5.049</v>
      </c>
      <c r="W35" s="1">
        <v>-5.37258823529412</v>
      </c>
      <c r="X35" s="1">
        <v>-5.512</v>
      </c>
      <c r="Y35" s="1">
        <v>0.19066004237127</v>
      </c>
      <c r="Z35" s="1">
        <v>0.184118629702734</v>
      </c>
      <c r="AA35" s="1">
        <v>0.611475409836065</v>
      </c>
      <c r="AB35" s="1">
        <v>0.62</v>
      </c>
      <c r="AC35" s="1">
        <v>0.258679163604714</v>
      </c>
      <c r="AD35" s="1">
        <v>0.285986586322709</v>
      </c>
      <c r="AE35" s="1">
        <v>0.728001442454968</v>
      </c>
      <c r="AF35" s="1">
        <v>0.784313278565711</v>
      </c>
      <c r="AG35" s="1" t="s">
        <v>51</v>
      </c>
      <c r="AH35" s="1">
        <v>0.804593795879888</v>
      </c>
      <c r="AI35" s="1">
        <v>0.813762080032699</v>
      </c>
      <c r="AJ35" s="1" t="s">
        <v>51</v>
      </c>
      <c r="AK35" s="1">
        <v>0.810237492560199</v>
      </c>
      <c r="AL35" s="1">
        <v>0.810360349426253</v>
      </c>
      <c r="AM35" s="1">
        <v>0.292629272464248</v>
      </c>
      <c r="AN35" s="1">
        <v>0.595740850307652</v>
      </c>
      <c r="AO35" s="1">
        <v>48</v>
      </c>
    </row>
    <row r="36" s="1" customFormat="1" spans="1:41">
      <c r="A36" s="1" t="s">
        <v>163</v>
      </c>
      <c r="B36" s="1" t="s">
        <v>164</v>
      </c>
      <c r="C36" s="1">
        <v>382.298939</v>
      </c>
      <c r="D36" s="1" t="s">
        <v>165</v>
      </c>
      <c r="E36" s="1" t="s">
        <v>166</v>
      </c>
      <c r="F36" s="1" t="s">
        <v>45</v>
      </c>
      <c r="G36" s="1" t="s">
        <v>46</v>
      </c>
      <c r="H36" s="1">
        <v>8</v>
      </c>
      <c r="I36" s="1">
        <v>64</v>
      </c>
      <c r="J36" s="1">
        <v>61</v>
      </c>
      <c r="K36" s="1">
        <v>95.3125</v>
      </c>
      <c r="L36" s="1">
        <v>50</v>
      </c>
      <c r="M36" s="1">
        <v>78.125</v>
      </c>
      <c r="N36" s="1">
        <v>50</v>
      </c>
      <c r="O36" s="1">
        <v>78.125</v>
      </c>
      <c r="P36" s="1">
        <v>-5.03304</v>
      </c>
      <c r="Q36" s="1">
        <f t="shared" si="1"/>
        <v>-251.652</v>
      </c>
      <c r="R36" s="1">
        <v>-4.967</v>
      </c>
      <c r="S36" s="1">
        <v>-7.755</v>
      </c>
      <c r="T36" s="1">
        <v>-3.953</v>
      </c>
      <c r="U36" s="1">
        <v>-3.18828</v>
      </c>
      <c r="V36" s="1">
        <v>-3.1205</v>
      </c>
      <c r="W36" s="1">
        <v>-3.60106</v>
      </c>
      <c r="X36" s="1">
        <v>-3.536</v>
      </c>
      <c r="Y36" s="1">
        <v>0.419115970090694</v>
      </c>
      <c r="Z36" s="1">
        <v>0.42831138171189</v>
      </c>
      <c r="AA36" s="1">
        <v>0.687213114754098</v>
      </c>
      <c r="AB36" s="1">
        <v>0.7</v>
      </c>
      <c r="AC36" s="1">
        <v>0.26342970518604</v>
      </c>
      <c r="AD36" s="1">
        <v>0.260685576001006</v>
      </c>
      <c r="AE36" s="1">
        <v>0.772157829931394</v>
      </c>
      <c r="AF36" s="1">
        <v>0.810697785538469</v>
      </c>
      <c r="AG36" s="1">
        <v>0.791276378237007</v>
      </c>
      <c r="AH36" s="1">
        <v>0.799533234642515</v>
      </c>
      <c r="AI36" s="1">
        <v>0.819879866946815</v>
      </c>
      <c r="AJ36" s="1">
        <v>0.808266457926819</v>
      </c>
      <c r="AK36" s="1">
        <v>0.807167139052565</v>
      </c>
      <c r="AL36" s="1">
        <v>0.820501856762183</v>
      </c>
      <c r="AM36" s="1">
        <v>0.497319046545649</v>
      </c>
      <c r="AN36" s="1">
        <v>0.684810652261966</v>
      </c>
      <c r="AO36" s="1">
        <v>43</v>
      </c>
    </row>
    <row r="37" s="1" customFormat="1" spans="1:41">
      <c r="A37" s="1" t="s">
        <v>52</v>
      </c>
      <c r="B37" s="1" t="s">
        <v>167</v>
      </c>
      <c r="C37" s="1">
        <v>1421.986076</v>
      </c>
      <c r="D37" s="1" t="s">
        <v>168</v>
      </c>
      <c r="E37" s="1" t="s">
        <v>169</v>
      </c>
      <c r="F37" s="1" t="s">
        <v>45</v>
      </c>
      <c r="G37" s="1" t="s">
        <v>46</v>
      </c>
      <c r="H37" s="1">
        <v>8</v>
      </c>
      <c r="I37" s="1">
        <v>64</v>
      </c>
      <c r="J37" s="1">
        <v>62</v>
      </c>
      <c r="K37" s="1">
        <v>96.875</v>
      </c>
      <c r="L37" s="1">
        <v>35</v>
      </c>
      <c r="M37" s="1">
        <v>54.6875</v>
      </c>
      <c r="N37" s="1">
        <v>35</v>
      </c>
      <c r="O37" s="1">
        <v>54.6875</v>
      </c>
      <c r="P37" s="1">
        <v>-8.07517142857143</v>
      </c>
      <c r="Q37" s="1">
        <f t="shared" si="1"/>
        <v>-282.631</v>
      </c>
      <c r="R37" s="1">
        <v>-7.961</v>
      </c>
      <c r="S37" s="1">
        <v>-11.449</v>
      </c>
      <c r="T37" s="1">
        <v>-5.551</v>
      </c>
      <c r="U37" s="1">
        <v>-4.75137142857143</v>
      </c>
      <c r="V37" s="1">
        <v>-4.768</v>
      </c>
      <c r="W37" s="1">
        <v>-5.18982857142857</v>
      </c>
      <c r="X37" s="1">
        <v>-5.088</v>
      </c>
      <c r="Y37" s="1">
        <v>0.238866739687709</v>
      </c>
      <c r="Z37" s="1">
        <v>0.201067030882358</v>
      </c>
      <c r="AA37" s="1">
        <v>0.587741935483871</v>
      </c>
      <c r="AB37" s="1">
        <v>0.6</v>
      </c>
      <c r="AC37" s="1">
        <v>0.199534495676713</v>
      </c>
      <c r="AD37" s="1">
        <v>0.184342313991623</v>
      </c>
      <c r="AE37" s="1">
        <v>0.730006266353575</v>
      </c>
      <c r="AF37" s="1">
        <v>0.799203846835796</v>
      </c>
      <c r="AG37" s="1">
        <v>0.792330386442342</v>
      </c>
      <c r="AH37" s="1">
        <v>0.800858119619775</v>
      </c>
      <c r="AI37" s="1">
        <v>0.825097294744665</v>
      </c>
      <c r="AJ37" s="1">
        <v>0.820639119453518</v>
      </c>
      <c r="AK37" s="1">
        <v>0.806370782860646</v>
      </c>
      <c r="AL37" s="1">
        <v>0.816429914286115</v>
      </c>
      <c r="AM37" s="1">
        <v>0.280484130514858</v>
      </c>
      <c r="AN37" s="1">
        <v>0.606972902292327</v>
      </c>
      <c r="AO37" s="1">
        <v>32</v>
      </c>
    </row>
    <row r="38" s="1" customFormat="1" spans="1:41">
      <c r="A38" s="1" t="s">
        <v>170</v>
      </c>
      <c r="B38" s="1" t="s">
        <v>171</v>
      </c>
      <c r="C38" s="1">
        <v>611.155741</v>
      </c>
      <c r="D38" s="1" t="s">
        <v>172</v>
      </c>
      <c r="E38" s="1" t="s">
        <v>173</v>
      </c>
      <c r="F38" s="1" t="s">
        <v>45</v>
      </c>
      <c r="G38" s="1" t="s">
        <v>46</v>
      </c>
      <c r="H38" s="1">
        <v>8</v>
      </c>
      <c r="I38" s="1">
        <v>64</v>
      </c>
      <c r="J38" s="1">
        <v>63</v>
      </c>
      <c r="K38" s="1">
        <v>98.4375</v>
      </c>
      <c r="L38" s="1">
        <v>33</v>
      </c>
      <c r="M38" s="1">
        <v>51.5625</v>
      </c>
      <c r="N38" s="1">
        <v>33</v>
      </c>
      <c r="O38" s="1">
        <v>51.5625</v>
      </c>
      <c r="P38" s="1">
        <v>-8.10366666666667</v>
      </c>
      <c r="Q38" s="1">
        <f t="shared" si="1"/>
        <v>-267.421</v>
      </c>
      <c r="R38" s="1">
        <v>-8.3</v>
      </c>
      <c r="S38" s="1">
        <v>-10.527</v>
      </c>
      <c r="T38" s="1">
        <v>-5.24</v>
      </c>
      <c r="U38" s="1">
        <v>-4.67760606060606</v>
      </c>
      <c r="V38" s="1">
        <v>-6.037</v>
      </c>
      <c r="W38" s="1">
        <v>-5.83581818181818</v>
      </c>
      <c r="X38" s="1">
        <v>-6.339</v>
      </c>
      <c r="Y38" s="1">
        <v>0.246873573056672</v>
      </c>
      <c r="Z38" s="1">
        <v>0.207177813562052</v>
      </c>
      <c r="AA38" s="1">
        <v>0.612539682539682</v>
      </c>
      <c r="AB38" s="1">
        <v>0.6</v>
      </c>
      <c r="AC38" s="1">
        <v>0.202981331951517</v>
      </c>
      <c r="AD38" s="1">
        <v>0.20182082897865</v>
      </c>
      <c r="AE38" s="1">
        <v>0.765636267223491</v>
      </c>
      <c r="AF38" s="1">
        <v>0.808346918266765</v>
      </c>
      <c r="AG38" s="1">
        <v>0.798757313658494</v>
      </c>
      <c r="AH38" s="1">
        <v>0.793894186405776</v>
      </c>
      <c r="AI38" s="1">
        <v>0.814204374957981</v>
      </c>
      <c r="AJ38" s="1">
        <v>0.807075643166289</v>
      </c>
      <c r="AK38" s="1">
        <v>0.817586707943836</v>
      </c>
      <c r="AL38" s="1">
        <v>0.813322281658917</v>
      </c>
      <c r="AM38" s="1">
        <v>0.342890626533585</v>
      </c>
      <c r="AN38" s="1">
        <v>0.645646235171168</v>
      </c>
      <c r="AO38" s="1">
        <v>13</v>
      </c>
    </row>
    <row r="39" s="1" customFormat="1" spans="1:41">
      <c r="A39" s="1" t="s">
        <v>174</v>
      </c>
      <c r="B39" s="1" t="s">
        <v>175</v>
      </c>
      <c r="C39" s="1">
        <v>749.660394</v>
      </c>
      <c r="D39" s="1" t="s">
        <v>176</v>
      </c>
      <c r="E39" s="1" t="s">
        <v>177</v>
      </c>
      <c r="F39" s="1" t="s">
        <v>45</v>
      </c>
      <c r="G39" s="1" t="s">
        <v>46</v>
      </c>
      <c r="H39" s="1">
        <v>8</v>
      </c>
      <c r="I39" s="1">
        <v>64</v>
      </c>
      <c r="J39" s="1">
        <v>62</v>
      </c>
      <c r="K39" s="1">
        <v>96.875</v>
      </c>
      <c r="L39" s="1">
        <v>53</v>
      </c>
      <c r="M39" s="1">
        <v>82.8125</v>
      </c>
      <c r="N39" s="1">
        <v>53</v>
      </c>
      <c r="O39" s="1">
        <v>82.8125</v>
      </c>
      <c r="P39" s="1">
        <v>-6.69481132075472</v>
      </c>
      <c r="Q39" s="1">
        <f t="shared" si="1"/>
        <v>-354.825</v>
      </c>
      <c r="R39" s="1">
        <v>-6.116</v>
      </c>
      <c r="S39" s="1">
        <v>-10.877</v>
      </c>
      <c r="T39" s="1">
        <v>-4.819</v>
      </c>
      <c r="U39" s="1">
        <v>-3.57345283018868</v>
      </c>
      <c r="V39" s="1">
        <v>-4.713</v>
      </c>
      <c r="W39" s="1">
        <v>-5.0288679245283</v>
      </c>
      <c r="X39" s="1">
        <v>-5.185</v>
      </c>
      <c r="Y39" s="1">
        <v>0.338765573664414</v>
      </c>
      <c r="Z39" s="1">
        <v>0.332165719161511</v>
      </c>
      <c r="AA39" s="1">
        <v>0.662903225806452</v>
      </c>
      <c r="AB39" s="1">
        <v>0.65</v>
      </c>
      <c r="AC39" s="1">
        <v>0.221137006388585</v>
      </c>
      <c r="AD39" s="1">
        <v>0.202122769890956</v>
      </c>
      <c r="AE39" s="1">
        <v>0.763171073165762</v>
      </c>
      <c r="AF39" s="1">
        <v>0.81046442956192</v>
      </c>
      <c r="AG39" s="1">
        <v>0.749775153713424</v>
      </c>
      <c r="AH39" s="1">
        <v>0.798326166697</v>
      </c>
      <c r="AI39" s="1">
        <v>0.811140166127723</v>
      </c>
      <c r="AJ39" s="1" t="s">
        <v>51</v>
      </c>
      <c r="AK39" s="1">
        <v>0.816519060869313</v>
      </c>
      <c r="AL39" s="1">
        <v>0.818446758185946</v>
      </c>
      <c r="AM39" s="1">
        <v>0.395373826062654</v>
      </c>
      <c r="AN39" s="1">
        <v>0.682672319295272</v>
      </c>
      <c r="AO39" s="1">
        <v>40</v>
      </c>
    </row>
    <row r="40" s="1" customFormat="1" spans="1:41">
      <c r="A40" s="1" t="s">
        <v>178</v>
      </c>
      <c r="B40" s="1" t="s">
        <v>179</v>
      </c>
      <c r="C40" s="1">
        <v>677.111803</v>
      </c>
      <c r="D40" s="1" t="s">
        <v>180</v>
      </c>
      <c r="E40" s="1" t="s">
        <v>181</v>
      </c>
      <c r="F40" s="1" t="s">
        <v>45</v>
      </c>
      <c r="G40" s="1" t="s">
        <v>46</v>
      </c>
      <c r="H40" s="1">
        <v>8</v>
      </c>
      <c r="I40" s="1">
        <v>64</v>
      </c>
      <c r="J40" s="1">
        <v>64</v>
      </c>
      <c r="K40" s="1">
        <v>100</v>
      </c>
      <c r="L40" s="1">
        <v>60</v>
      </c>
      <c r="M40" s="1">
        <v>93.75</v>
      </c>
      <c r="N40" s="1">
        <v>60</v>
      </c>
      <c r="O40" s="1">
        <v>93.75</v>
      </c>
      <c r="P40" s="1">
        <v>-4.54256666666667</v>
      </c>
      <c r="Q40" s="1">
        <f t="shared" si="1"/>
        <v>-272.554</v>
      </c>
      <c r="R40" s="1">
        <v>-4.248</v>
      </c>
      <c r="S40" s="1">
        <v>-7.374</v>
      </c>
      <c r="T40" s="1">
        <v>-3.313</v>
      </c>
      <c r="U40" s="1">
        <v>-2.60345</v>
      </c>
      <c r="V40" s="1">
        <v>-2.739</v>
      </c>
      <c r="W40" s="1">
        <v>-3.00195</v>
      </c>
      <c r="X40" s="1">
        <v>-3.127</v>
      </c>
      <c r="Y40" s="1">
        <v>0.411765988913088</v>
      </c>
      <c r="Z40" s="1">
        <v>0.436378159787372</v>
      </c>
      <c r="AA40" s="1">
        <v>0.7384375</v>
      </c>
      <c r="AB40" s="1">
        <v>0.765</v>
      </c>
      <c r="AC40" s="1">
        <v>0.185345030838706</v>
      </c>
      <c r="AD40" s="1">
        <v>0.15770080647051</v>
      </c>
      <c r="AE40" s="1">
        <v>0.777552551804624</v>
      </c>
      <c r="AF40" s="1">
        <v>0.80964773140491</v>
      </c>
      <c r="AG40" s="1">
        <v>0.792720221499042</v>
      </c>
      <c r="AH40" s="1">
        <v>0.807260980569116</v>
      </c>
      <c r="AI40" s="1">
        <v>0.816347938556777</v>
      </c>
      <c r="AJ40" s="1" t="s">
        <v>51</v>
      </c>
      <c r="AK40" s="1">
        <v>0.809608358844635</v>
      </c>
      <c r="AL40" s="1">
        <v>0.814591462891709</v>
      </c>
      <c r="AM40" s="1">
        <v>0.462281750281953</v>
      </c>
      <c r="AN40" s="1">
        <v>0.682304704142425</v>
      </c>
      <c r="AO40" s="1">
        <v>50</v>
      </c>
    </row>
    <row r="41" s="1" customFormat="1" spans="1:41">
      <c r="A41" s="1" t="s">
        <v>182</v>
      </c>
      <c r="B41" s="1" t="s">
        <v>183</v>
      </c>
      <c r="C41" s="1">
        <v>410.960833</v>
      </c>
      <c r="D41" s="1" t="s">
        <v>184</v>
      </c>
      <c r="E41" s="1" t="s">
        <v>185</v>
      </c>
      <c r="F41" s="1" t="s">
        <v>45</v>
      </c>
      <c r="G41" s="1" t="s">
        <v>46</v>
      </c>
      <c r="H41" s="1">
        <v>8</v>
      </c>
      <c r="I41" s="1">
        <v>64</v>
      </c>
      <c r="J41" s="1">
        <v>64</v>
      </c>
      <c r="K41" s="1">
        <v>100</v>
      </c>
      <c r="L41" s="1">
        <v>28</v>
      </c>
      <c r="M41" s="1">
        <v>43.75</v>
      </c>
      <c r="N41" s="1">
        <v>28</v>
      </c>
      <c r="O41" s="1">
        <v>43.75</v>
      </c>
      <c r="P41" s="1">
        <v>-6.86332142857143</v>
      </c>
      <c r="Q41" s="1">
        <f t="shared" si="1"/>
        <v>-192.173</v>
      </c>
      <c r="R41" s="1">
        <v>-6.863</v>
      </c>
      <c r="S41" s="1">
        <v>-9.523</v>
      </c>
      <c r="T41" s="1">
        <v>-5.66</v>
      </c>
      <c r="U41" s="1">
        <v>-5.60178571428571</v>
      </c>
      <c r="V41" s="1">
        <v>-5.435</v>
      </c>
      <c r="W41" s="1">
        <v>-5.9585</v>
      </c>
      <c r="X41" s="1">
        <v>-5.8305</v>
      </c>
      <c r="Y41" s="1">
        <v>0.323861918480449</v>
      </c>
      <c r="Z41" s="1">
        <v>0.297470929445251</v>
      </c>
      <c r="AA41" s="1">
        <v>0.633125</v>
      </c>
      <c r="AB41" s="1">
        <v>0.65</v>
      </c>
      <c r="AC41" s="1">
        <v>0.24852848383197</v>
      </c>
      <c r="AD41" s="1">
        <v>0.270404665335672</v>
      </c>
      <c r="AE41" s="1">
        <v>0.77097907358718</v>
      </c>
      <c r="AF41" s="1">
        <v>0.811605103931422</v>
      </c>
      <c r="AG41" s="1">
        <v>0.792143404571773</v>
      </c>
      <c r="AH41" s="1">
        <v>0.818388835922132</v>
      </c>
      <c r="AI41" s="1">
        <v>0.811456057185654</v>
      </c>
      <c r="AJ41" s="1" t="s">
        <v>51</v>
      </c>
      <c r="AK41" s="1">
        <v>0.818393137541266</v>
      </c>
      <c r="AL41" s="1">
        <v>0.813171277979069</v>
      </c>
      <c r="AM41" s="1">
        <v>0.383386334935725</v>
      </c>
      <c r="AN41" s="1">
        <v>0.672449922721076</v>
      </c>
      <c r="AO41" s="1">
        <v>47</v>
      </c>
    </row>
    <row r="42" s="1" customFormat="1" spans="1:41">
      <c r="A42" s="1" t="s">
        <v>186</v>
      </c>
      <c r="B42" s="1" t="s">
        <v>187</v>
      </c>
      <c r="C42" s="1">
        <v>904.796913</v>
      </c>
      <c r="D42" s="1" t="s">
        <v>188</v>
      </c>
      <c r="E42" s="1" t="s">
        <v>189</v>
      </c>
      <c r="F42" s="1" t="s">
        <v>45</v>
      </c>
      <c r="G42" s="1" t="s">
        <v>46</v>
      </c>
      <c r="H42" s="1">
        <v>8</v>
      </c>
      <c r="I42" s="1">
        <v>64</v>
      </c>
      <c r="J42" s="1">
        <v>62</v>
      </c>
      <c r="K42" s="1">
        <v>96.875</v>
      </c>
      <c r="L42" s="1">
        <v>24</v>
      </c>
      <c r="M42" s="1">
        <v>37.5</v>
      </c>
      <c r="N42" s="1">
        <v>24</v>
      </c>
      <c r="O42" s="1">
        <v>37.5</v>
      </c>
      <c r="P42" s="1">
        <v>-10.65425</v>
      </c>
      <c r="Q42" s="1">
        <f t="shared" si="1"/>
        <v>-255.702</v>
      </c>
      <c r="R42" s="1">
        <v>-10.743</v>
      </c>
      <c r="S42" s="1">
        <v>-13.336</v>
      </c>
      <c r="T42" s="1">
        <v>-6.813</v>
      </c>
      <c r="U42" s="1">
        <v>3.97466666666667</v>
      </c>
      <c r="V42" s="1">
        <v>-7.625</v>
      </c>
      <c r="W42" s="1">
        <v>-4.1475</v>
      </c>
      <c r="X42" s="1">
        <v>-8.3165</v>
      </c>
      <c r="Y42" s="1">
        <v>0.132305984010529</v>
      </c>
      <c r="Z42" s="1">
        <v>0.0960992187154329</v>
      </c>
      <c r="AA42" s="1">
        <v>0.561774193548387</v>
      </c>
      <c r="AB42" s="1">
        <v>0.55</v>
      </c>
      <c r="AC42" s="1">
        <v>0.210227283099737</v>
      </c>
      <c r="AD42" s="1">
        <v>0.213321581115959</v>
      </c>
      <c r="AE42" s="1">
        <v>0.723429318080842</v>
      </c>
      <c r="AF42" s="1">
        <v>0.791666622237566</v>
      </c>
      <c r="AG42" s="1">
        <v>0.812332487574341</v>
      </c>
      <c r="AH42" s="1">
        <v>0.810456489250024</v>
      </c>
      <c r="AI42" s="1">
        <v>0.81350440510379</v>
      </c>
      <c r="AJ42" s="1">
        <v>0.807790249231762</v>
      </c>
      <c r="AK42" s="1">
        <v>0.79527347983617</v>
      </c>
      <c r="AL42" s="1">
        <v>0.806511285592584</v>
      </c>
      <c r="AM42" s="1">
        <v>0.264024688900775</v>
      </c>
      <c r="AN42" s="1">
        <v>0.598694090348734</v>
      </c>
      <c r="AO42" s="1">
        <v>31</v>
      </c>
    </row>
    <row r="43" s="1" customFormat="1" spans="1:41">
      <c r="A43" s="1" t="s">
        <v>190</v>
      </c>
      <c r="B43" s="1" t="s">
        <v>191</v>
      </c>
      <c r="C43" s="1">
        <v>712.053341</v>
      </c>
      <c r="D43" s="1" t="s">
        <v>192</v>
      </c>
      <c r="E43" s="1" t="s">
        <v>193</v>
      </c>
      <c r="F43" s="1" t="s">
        <v>45</v>
      </c>
      <c r="G43" s="1" t="s">
        <v>46</v>
      </c>
      <c r="H43" s="1">
        <v>8</v>
      </c>
      <c r="I43" s="1">
        <v>64</v>
      </c>
      <c r="J43" s="1">
        <v>61</v>
      </c>
      <c r="K43" s="1">
        <v>95.3125</v>
      </c>
      <c r="L43" s="1">
        <v>30</v>
      </c>
      <c r="M43" s="1">
        <v>46.875</v>
      </c>
      <c r="N43" s="1">
        <v>30</v>
      </c>
      <c r="O43" s="1">
        <v>46.875</v>
      </c>
      <c r="P43" s="1">
        <v>-8.7274</v>
      </c>
      <c r="Q43" s="1">
        <f t="shared" si="1"/>
        <v>-261.822</v>
      </c>
      <c r="R43" s="1">
        <v>-8.6995</v>
      </c>
      <c r="S43" s="1">
        <v>-12.742</v>
      </c>
      <c r="T43" s="1">
        <v>-5.997</v>
      </c>
      <c r="U43" s="1">
        <v>-4.13686666666667</v>
      </c>
      <c r="V43" s="1">
        <v>-5.6495</v>
      </c>
      <c r="W43" s="1">
        <v>-6.06973333333334</v>
      </c>
      <c r="X43" s="1">
        <v>-6.1805</v>
      </c>
      <c r="Y43" s="1">
        <v>0.28441363493851</v>
      </c>
      <c r="Z43" s="1">
        <v>0.230528960325471</v>
      </c>
      <c r="AA43" s="1">
        <v>0.69</v>
      </c>
      <c r="AB43" s="1">
        <v>0.67</v>
      </c>
      <c r="AC43" s="1">
        <v>0.271138765708628</v>
      </c>
      <c r="AD43" s="1">
        <v>0.274448132741323</v>
      </c>
      <c r="AE43" s="1">
        <v>0.735767206949843</v>
      </c>
      <c r="AF43" s="1">
        <v>0.798523139362252</v>
      </c>
      <c r="AG43" s="1">
        <v>0.780041937306018</v>
      </c>
      <c r="AH43" s="1">
        <v>0.808865689092244</v>
      </c>
      <c r="AI43" s="1">
        <v>0.823433146441538</v>
      </c>
      <c r="AJ43" s="1">
        <v>0.830318647764728</v>
      </c>
      <c r="AK43" s="1">
        <v>0.821528592268356</v>
      </c>
      <c r="AL43" s="1">
        <v>0.809718574007511</v>
      </c>
      <c r="AM43" s="1">
        <v>0.338591889117725</v>
      </c>
      <c r="AN43" s="1">
        <v>0.617679912514001</v>
      </c>
      <c r="AO43" s="1">
        <v>21</v>
      </c>
    </row>
    <row r="44" s="1" customFormat="1" spans="1:41">
      <c r="A44" s="1" t="s">
        <v>194</v>
      </c>
      <c r="B44" s="1" t="s">
        <v>195</v>
      </c>
      <c r="C44" s="1">
        <v>536.514606</v>
      </c>
      <c r="D44" s="1" t="s">
        <v>196</v>
      </c>
      <c r="E44" s="1" t="s">
        <v>197</v>
      </c>
      <c r="F44" s="1" t="s">
        <v>45</v>
      </c>
      <c r="G44" s="1" t="s">
        <v>46</v>
      </c>
      <c r="H44" s="1">
        <v>8</v>
      </c>
      <c r="I44" s="1">
        <v>64</v>
      </c>
      <c r="J44" s="1">
        <v>61</v>
      </c>
      <c r="K44" s="1">
        <v>95.3125</v>
      </c>
      <c r="L44" s="1">
        <v>32</v>
      </c>
      <c r="M44" s="1">
        <v>50</v>
      </c>
      <c r="N44" s="1">
        <v>32</v>
      </c>
      <c r="O44" s="1">
        <v>50</v>
      </c>
      <c r="P44" s="1">
        <v>-6.31165625</v>
      </c>
      <c r="Q44" s="1">
        <f t="shared" si="1"/>
        <v>-201.973</v>
      </c>
      <c r="R44" s="1">
        <v>-6.2045</v>
      </c>
      <c r="S44" s="1">
        <v>-7.855</v>
      </c>
      <c r="T44" s="1">
        <v>-4.716</v>
      </c>
      <c r="U44" s="1">
        <v>29.4248125</v>
      </c>
      <c r="V44" s="1">
        <v>30.585</v>
      </c>
      <c r="W44" s="1">
        <v>4.1030625</v>
      </c>
      <c r="X44" s="1">
        <v>2.379</v>
      </c>
      <c r="Y44" s="1">
        <v>0.321060813762493</v>
      </c>
      <c r="Z44" s="1">
        <v>0.271233792587306</v>
      </c>
      <c r="AA44" s="1">
        <v>0.605081967213115</v>
      </c>
      <c r="AB44" s="1">
        <v>0.59</v>
      </c>
      <c r="AC44" s="1">
        <v>0.236215160805928</v>
      </c>
      <c r="AD44" s="1">
        <v>0.217462067155963</v>
      </c>
      <c r="AE44" s="1">
        <v>0.768783081560399</v>
      </c>
      <c r="AF44" s="1">
        <v>0.808688582645146</v>
      </c>
      <c r="AG44" s="1">
        <v>0.766454454947144</v>
      </c>
      <c r="AH44" s="1">
        <v>0.784010408988263</v>
      </c>
      <c r="AI44" s="1">
        <v>0.819738945099771</v>
      </c>
      <c r="AJ44" s="1">
        <v>0.81958556933109</v>
      </c>
      <c r="AK44" s="1">
        <v>0.821465467122641</v>
      </c>
      <c r="AL44" s="1">
        <v>0.820873014146519</v>
      </c>
      <c r="AM44" s="1">
        <v>0.329518391587201</v>
      </c>
      <c r="AN44" s="1">
        <v>0.676467317932779</v>
      </c>
      <c r="AO44" s="1">
        <v>58</v>
      </c>
    </row>
    <row r="45" s="1" customFormat="1" spans="1:41">
      <c r="A45" s="1" t="s">
        <v>198</v>
      </c>
      <c r="B45" s="1" t="s">
        <v>199</v>
      </c>
      <c r="C45" s="1">
        <v>1215.218231</v>
      </c>
      <c r="D45" s="1" t="s">
        <v>200</v>
      </c>
      <c r="E45" s="1" t="s">
        <v>201</v>
      </c>
      <c r="F45" s="1" t="s">
        <v>45</v>
      </c>
      <c r="G45" s="1" t="s">
        <v>46</v>
      </c>
      <c r="H45" s="1">
        <v>8</v>
      </c>
      <c r="I45" s="1">
        <v>64</v>
      </c>
      <c r="J45" s="1">
        <v>61</v>
      </c>
      <c r="K45" s="1">
        <v>95.3125</v>
      </c>
      <c r="L45" s="1">
        <v>39</v>
      </c>
      <c r="M45" s="1">
        <v>60.9375</v>
      </c>
      <c r="N45" s="1">
        <v>39</v>
      </c>
      <c r="O45" s="1">
        <v>60.9375</v>
      </c>
      <c r="P45" s="1">
        <v>-6.8878717948718</v>
      </c>
      <c r="Q45" s="1">
        <f t="shared" si="1"/>
        <v>-268.627</v>
      </c>
      <c r="R45" s="1">
        <v>-6.943</v>
      </c>
      <c r="S45" s="1">
        <v>-8.404</v>
      </c>
      <c r="T45" s="1">
        <v>-5.56</v>
      </c>
      <c r="U45" s="1">
        <v>-5.07294871794872</v>
      </c>
      <c r="V45" s="1">
        <v>-5.005</v>
      </c>
      <c r="W45" s="1">
        <v>-5.38271794871795</v>
      </c>
      <c r="X45" s="1">
        <v>-5.297</v>
      </c>
      <c r="Y45" s="1">
        <v>0.18209967909309</v>
      </c>
      <c r="Z45" s="1">
        <v>0.166515785529781</v>
      </c>
      <c r="AA45" s="1">
        <v>0.606065573770492</v>
      </c>
      <c r="AB45" s="1">
        <v>0.6</v>
      </c>
      <c r="AC45" s="1">
        <v>0.175770742216062</v>
      </c>
      <c r="AD45" s="1">
        <v>0.168589915233661</v>
      </c>
      <c r="AE45" s="1">
        <v>0.729513333276839</v>
      </c>
      <c r="AF45" s="1">
        <v>0.797238498432009</v>
      </c>
      <c r="AG45" s="1">
        <v>0.769137251739417</v>
      </c>
      <c r="AH45" s="1">
        <v>0.790524198332819</v>
      </c>
      <c r="AI45" s="1">
        <v>0.817472152585588</v>
      </c>
      <c r="AJ45" s="1">
        <v>0.794248669406464</v>
      </c>
      <c r="AK45" s="1">
        <v>0.807076122081184</v>
      </c>
      <c r="AL45" s="1">
        <v>0.815440834041188</v>
      </c>
      <c r="AM45" s="1">
        <v>0.295107256291872</v>
      </c>
      <c r="AN45" s="1">
        <v>0.610172461297043</v>
      </c>
      <c r="AO45" s="1">
        <v>9</v>
      </c>
    </row>
    <row r="46" s="1" customFormat="1" spans="1:41">
      <c r="A46" s="1" t="s">
        <v>202</v>
      </c>
      <c r="B46" s="1" t="s">
        <v>203</v>
      </c>
      <c r="C46" s="1">
        <v>766.581892</v>
      </c>
      <c r="D46" s="1" t="s">
        <v>204</v>
      </c>
      <c r="E46" s="1" t="s">
        <v>205</v>
      </c>
      <c r="F46" s="1" t="s">
        <v>45</v>
      </c>
      <c r="G46" s="1" t="s">
        <v>46</v>
      </c>
      <c r="H46" s="1">
        <v>8</v>
      </c>
      <c r="I46" s="1">
        <v>64</v>
      </c>
      <c r="J46" s="1">
        <v>63</v>
      </c>
      <c r="K46" s="1">
        <v>98.4375</v>
      </c>
      <c r="L46" s="1">
        <v>14</v>
      </c>
      <c r="M46" s="1">
        <v>21.875</v>
      </c>
      <c r="N46" s="1">
        <v>14</v>
      </c>
      <c r="O46" s="1">
        <v>21.875</v>
      </c>
      <c r="P46" s="1">
        <v>-9.76828571428572</v>
      </c>
      <c r="Q46" s="1">
        <f t="shared" si="1"/>
        <v>-136.756</v>
      </c>
      <c r="R46" s="1">
        <v>-9.536</v>
      </c>
      <c r="S46" s="1">
        <v>-11.946</v>
      </c>
      <c r="T46" s="1">
        <v>-7.763</v>
      </c>
      <c r="U46" s="1">
        <v>-4.06435714285714</v>
      </c>
      <c r="V46" s="1">
        <v>-6.158</v>
      </c>
      <c r="W46" s="1">
        <v>-6.53814285714286</v>
      </c>
      <c r="X46" s="1">
        <v>-6.2915</v>
      </c>
      <c r="Y46" s="1">
        <v>0.161545728690218</v>
      </c>
      <c r="Z46" s="1">
        <v>0.147868387273459</v>
      </c>
      <c r="AA46" s="1">
        <v>0.617777777777778</v>
      </c>
      <c r="AB46" s="1">
        <v>0.61</v>
      </c>
      <c r="AC46" s="1">
        <v>0.198899133543513</v>
      </c>
      <c r="AD46" s="1">
        <v>0.187121034628332</v>
      </c>
      <c r="AE46" s="1">
        <v>0.70758071524394</v>
      </c>
      <c r="AF46" s="1">
        <v>0.791183360717269</v>
      </c>
      <c r="AG46" s="1" t="s">
        <v>51</v>
      </c>
      <c r="AH46" s="1">
        <v>0.790926313778001</v>
      </c>
      <c r="AI46" s="1">
        <v>0.797138432064661</v>
      </c>
      <c r="AJ46" s="1" t="s">
        <v>51</v>
      </c>
      <c r="AK46" s="1">
        <v>0.797926082085644</v>
      </c>
      <c r="AL46" s="1">
        <v>0.823084276266407</v>
      </c>
      <c r="AM46" s="1">
        <v>0.273917734393025</v>
      </c>
      <c r="AN46" s="1">
        <v>0.591517706918194</v>
      </c>
      <c r="AO46" s="1">
        <v>54</v>
      </c>
    </row>
    <row r="47" s="1" customFormat="1" spans="1:41">
      <c r="A47" s="1" t="s">
        <v>206</v>
      </c>
      <c r="B47" s="1" t="s">
        <v>207</v>
      </c>
      <c r="C47" s="1">
        <v>322.816558</v>
      </c>
      <c r="D47" s="1" t="s">
        <v>208</v>
      </c>
      <c r="E47" s="1" t="s">
        <v>209</v>
      </c>
      <c r="F47" s="1" t="s">
        <v>45</v>
      </c>
      <c r="G47" s="1" t="s">
        <v>46</v>
      </c>
      <c r="H47" s="1">
        <v>8</v>
      </c>
      <c r="I47" s="1">
        <v>64</v>
      </c>
      <c r="J47" s="1">
        <v>63</v>
      </c>
      <c r="K47" s="1">
        <v>98.4375</v>
      </c>
      <c r="L47" s="1">
        <v>47</v>
      </c>
      <c r="M47" s="1">
        <v>73.4375</v>
      </c>
      <c r="N47" s="1">
        <v>47</v>
      </c>
      <c r="O47" s="1">
        <v>73.4375</v>
      </c>
      <c r="P47" s="1">
        <v>-5.45725531914894</v>
      </c>
      <c r="Q47" s="1">
        <f t="shared" si="1"/>
        <v>-256.491</v>
      </c>
      <c r="R47" s="1">
        <v>-5.415</v>
      </c>
      <c r="S47" s="1">
        <v>-6.332</v>
      </c>
      <c r="T47" s="1">
        <v>-5.02</v>
      </c>
      <c r="U47" s="1">
        <v>-3.79965957446809</v>
      </c>
      <c r="V47" s="1">
        <v>-3.753</v>
      </c>
      <c r="W47" s="1">
        <v>-4.29146808510638</v>
      </c>
      <c r="X47" s="1">
        <v>-4.258</v>
      </c>
      <c r="Y47" s="1">
        <v>0.451727017981042</v>
      </c>
      <c r="Z47" s="1">
        <v>0.485975530954351</v>
      </c>
      <c r="AA47" s="1">
        <v>0.783333333333333</v>
      </c>
      <c r="AB47" s="1">
        <v>0.81</v>
      </c>
      <c r="AC47" s="1">
        <v>0.256741071870973</v>
      </c>
      <c r="AD47" s="1">
        <v>0.282979476057249</v>
      </c>
      <c r="AE47" s="1">
        <v>0.787289771787719</v>
      </c>
      <c r="AF47" s="1">
        <v>0.812419072017623</v>
      </c>
      <c r="AG47" s="1">
        <v>0.713040910629381</v>
      </c>
      <c r="AH47" s="1">
        <v>0.809341611711566</v>
      </c>
      <c r="AI47" s="1">
        <v>0.812835037113494</v>
      </c>
      <c r="AJ47" s="1" t="s">
        <v>51</v>
      </c>
      <c r="AK47" s="1">
        <v>0.812852978096715</v>
      </c>
      <c r="AL47" s="1">
        <v>0.810424016875172</v>
      </c>
      <c r="AM47" s="1">
        <v>0.522144278948091</v>
      </c>
      <c r="AN47" s="1">
        <v>0.711790413615868</v>
      </c>
      <c r="AO47" s="1">
        <v>66</v>
      </c>
    </row>
    <row r="48" s="1" customFormat="1" spans="1:41">
      <c r="A48" s="1" t="s">
        <v>210</v>
      </c>
      <c r="B48" s="1" t="s">
        <v>211</v>
      </c>
      <c r="C48" s="1">
        <v>676.48064</v>
      </c>
      <c r="D48" s="1" t="s">
        <v>212</v>
      </c>
      <c r="E48" s="1" t="s">
        <v>213</v>
      </c>
      <c r="F48" s="1" t="s">
        <v>45</v>
      </c>
      <c r="G48" s="1" t="s">
        <v>46</v>
      </c>
      <c r="H48" s="1">
        <v>8</v>
      </c>
      <c r="I48" s="1">
        <v>64</v>
      </c>
      <c r="J48" s="1">
        <v>62</v>
      </c>
      <c r="K48" s="1">
        <v>96.875</v>
      </c>
      <c r="L48" s="1">
        <v>21</v>
      </c>
      <c r="M48" s="1">
        <v>32.8125</v>
      </c>
      <c r="N48" s="1">
        <v>21</v>
      </c>
      <c r="O48" s="1">
        <v>32.8125</v>
      </c>
      <c r="P48" s="1">
        <v>-8.67028571428571</v>
      </c>
      <c r="Q48" s="1">
        <f t="shared" si="1"/>
        <v>-182.076</v>
      </c>
      <c r="R48" s="1">
        <v>-8.44</v>
      </c>
      <c r="S48" s="1">
        <v>-10.661</v>
      </c>
      <c r="T48" s="1">
        <v>-7.015</v>
      </c>
      <c r="U48" s="1">
        <v>-6.72309523809524</v>
      </c>
      <c r="V48" s="1">
        <v>-6.545</v>
      </c>
      <c r="W48" s="1">
        <v>-7.14709523809524</v>
      </c>
      <c r="X48" s="1">
        <v>-6.841</v>
      </c>
      <c r="Y48" s="1">
        <v>0.210554541516421</v>
      </c>
      <c r="Z48" s="1">
        <v>0.1857632855618</v>
      </c>
      <c r="AA48" s="1">
        <v>0.617096774193548</v>
      </c>
      <c r="AB48" s="1">
        <v>0.625</v>
      </c>
      <c r="AC48" s="1">
        <v>0.19213970416393</v>
      </c>
      <c r="AD48" s="1">
        <v>0.180216265825182</v>
      </c>
      <c r="AE48" s="1">
        <v>0.740746321569808</v>
      </c>
      <c r="AF48" s="1">
        <v>0.798331861485538</v>
      </c>
      <c r="AG48" s="1">
        <v>0.832095487515743</v>
      </c>
      <c r="AH48" s="1">
        <v>0.804546842529434</v>
      </c>
      <c r="AI48" s="1">
        <v>0.825659257196629</v>
      </c>
      <c r="AJ48" s="1">
        <v>0.828106804057915</v>
      </c>
      <c r="AK48" s="1">
        <v>0.803126730215437</v>
      </c>
      <c r="AL48" s="1">
        <v>0.796770926118284</v>
      </c>
      <c r="AM48" s="1">
        <v>0.306485722855349</v>
      </c>
      <c r="AN48" s="1">
        <v>0.621768232810866</v>
      </c>
      <c r="AO48" s="1">
        <v>27</v>
      </c>
    </row>
    <row r="49" s="1" customFormat="1" spans="1:41">
      <c r="A49" s="1" t="s">
        <v>52</v>
      </c>
      <c r="B49" s="1" t="s">
        <v>214</v>
      </c>
      <c r="C49" s="1">
        <v>1789.49622</v>
      </c>
      <c r="D49" s="1" t="s">
        <v>215</v>
      </c>
      <c r="E49" s="1" t="s">
        <v>216</v>
      </c>
      <c r="F49" s="1" t="s">
        <v>45</v>
      </c>
      <c r="G49" s="1" t="s">
        <v>46</v>
      </c>
      <c r="H49" s="1">
        <v>8</v>
      </c>
      <c r="I49" s="1">
        <v>64</v>
      </c>
      <c r="J49" s="1">
        <v>61</v>
      </c>
      <c r="K49" s="1">
        <v>95.3125</v>
      </c>
      <c r="L49" s="1">
        <v>38</v>
      </c>
      <c r="M49" s="1">
        <v>59.375</v>
      </c>
      <c r="N49" s="1">
        <v>38</v>
      </c>
      <c r="O49" s="1">
        <v>59.375</v>
      </c>
      <c r="P49" s="1">
        <v>-10.3314210526316</v>
      </c>
      <c r="Q49" s="1">
        <f t="shared" si="1"/>
        <v>-392.594</v>
      </c>
      <c r="R49" s="1">
        <v>-9.8375</v>
      </c>
      <c r="S49" s="1">
        <v>-14.038</v>
      </c>
      <c r="T49" s="1">
        <v>-7.82</v>
      </c>
      <c r="U49" s="1">
        <v>-6.70984210526316</v>
      </c>
      <c r="V49" s="1">
        <v>-8.64</v>
      </c>
      <c r="W49" s="1">
        <v>-7.19668421052632</v>
      </c>
      <c r="X49" s="1">
        <v>-8.715</v>
      </c>
      <c r="Y49" s="1">
        <v>0.118977704614012</v>
      </c>
      <c r="Z49" s="1">
        <v>0.117055283579049</v>
      </c>
      <c r="AA49" s="1">
        <v>0.566229508196721</v>
      </c>
      <c r="AB49" s="1">
        <v>0.56</v>
      </c>
      <c r="AC49" s="1">
        <v>0.232303886287045</v>
      </c>
      <c r="AD49" s="1">
        <v>0.244533387208721</v>
      </c>
      <c r="AE49" s="1">
        <v>0.718918327770878</v>
      </c>
      <c r="AF49" s="1">
        <v>0.787393664922741</v>
      </c>
      <c r="AG49" s="1">
        <v>0.803860273816126</v>
      </c>
      <c r="AH49" s="1">
        <v>0.812422117698932</v>
      </c>
      <c r="AI49" s="1">
        <v>0.811511682801207</v>
      </c>
      <c r="AJ49" s="1" t="s">
        <v>51</v>
      </c>
      <c r="AK49" s="1">
        <v>0.799977950992354</v>
      </c>
      <c r="AL49" s="1">
        <v>0.817283038640567</v>
      </c>
      <c r="AM49" s="1">
        <v>0.267974542061377</v>
      </c>
      <c r="AN49" s="1">
        <v>0.590152008850761</v>
      </c>
      <c r="AO49" s="1">
        <v>22</v>
      </c>
    </row>
    <row r="50" s="1" customFormat="1" spans="1:41">
      <c r="A50" s="1" t="s">
        <v>217</v>
      </c>
      <c r="B50" s="1" t="s">
        <v>218</v>
      </c>
      <c r="C50" s="1">
        <v>434.085971</v>
      </c>
      <c r="D50" s="1" t="s">
        <v>219</v>
      </c>
      <c r="E50" s="1" t="s">
        <v>220</v>
      </c>
      <c r="F50" s="1" t="s">
        <v>45</v>
      </c>
      <c r="G50" s="1" t="s">
        <v>46</v>
      </c>
      <c r="H50" s="1">
        <v>8</v>
      </c>
      <c r="I50" s="1">
        <v>64</v>
      </c>
      <c r="J50" s="1">
        <v>63</v>
      </c>
      <c r="K50" s="1">
        <v>98.4375</v>
      </c>
      <c r="L50" s="1">
        <v>40</v>
      </c>
      <c r="M50" s="1">
        <v>62.5</v>
      </c>
      <c r="N50" s="1">
        <v>40</v>
      </c>
      <c r="O50" s="1">
        <v>62.5</v>
      </c>
      <c r="P50" s="1">
        <v>-6.3594</v>
      </c>
      <c r="Q50" s="1">
        <f t="shared" si="1"/>
        <v>-254.376</v>
      </c>
      <c r="R50" s="1">
        <v>-6.142</v>
      </c>
      <c r="S50" s="1">
        <v>-9.249</v>
      </c>
      <c r="T50" s="1">
        <v>-4.994</v>
      </c>
      <c r="U50" s="1">
        <v>-4.25315</v>
      </c>
      <c r="V50" s="1">
        <v>-4.5385</v>
      </c>
      <c r="W50" s="1">
        <v>-5.09615</v>
      </c>
      <c r="X50" s="1">
        <v>-5.007</v>
      </c>
      <c r="Y50" s="1">
        <v>0.400456613445799</v>
      </c>
      <c r="Z50" s="1">
        <v>0.410087724281072</v>
      </c>
      <c r="AA50" s="1">
        <v>0.693809523809524</v>
      </c>
      <c r="AB50" s="1">
        <v>0.68</v>
      </c>
      <c r="AC50" s="1">
        <v>0.187172080777854</v>
      </c>
      <c r="AD50" s="1">
        <v>0.174749769172625</v>
      </c>
      <c r="AE50" s="1">
        <v>0.775241313799851</v>
      </c>
      <c r="AF50" s="1">
        <v>0.814569774768758</v>
      </c>
      <c r="AG50" s="1">
        <v>0.802229430196693</v>
      </c>
      <c r="AH50" s="1">
        <v>0.806560840104756</v>
      </c>
      <c r="AI50" s="1">
        <v>0.81764293431054</v>
      </c>
      <c r="AJ50" s="1">
        <v>0.77808576833155</v>
      </c>
      <c r="AK50" s="1">
        <v>0.813413836903399</v>
      </c>
      <c r="AL50" s="1">
        <v>0.81563359032299</v>
      </c>
      <c r="AM50" s="1">
        <v>0.40591672787</v>
      </c>
      <c r="AN50" s="1">
        <v>0.697870460233097</v>
      </c>
      <c r="AO50" s="1">
        <v>64</v>
      </c>
    </row>
    <row r="51" s="1" customFormat="1" spans="1:41">
      <c r="A51" s="1" t="s">
        <v>221</v>
      </c>
      <c r="B51" s="1" t="s">
        <v>222</v>
      </c>
      <c r="C51" s="1">
        <v>468.404738</v>
      </c>
      <c r="D51" s="1" t="s">
        <v>223</v>
      </c>
      <c r="E51" s="1" t="s">
        <v>224</v>
      </c>
      <c r="F51" s="1" t="s">
        <v>45</v>
      </c>
      <c r="G51" s="1" t="s">
        <v>46</v>
      </c>
      <c r="H51" s="1">
        <v>8</v>
      </c>
      <c r="I51" s="1">
        <v>64</v>
      </c>
      <c r="J51" s="1">
        <v>58</v>
      </c>
      <c r="K51" s="1">
        <v>90.625</v>
      </c>
      <c r="L51" s="1">
        <v>22</v>
      </c>
      <c r="M51" s="1">
        <v>34.375</v>
      </c>
      <c r="N51" s="1">
        <v>22</v>
      </c>
      <c r="O51" s="1">
        <v>34.375</v>
      </c>
      <c r="P51" s="1">
        <v>-11.4813636363636</v>
      </c>
      <c r="Q51" s="1">
        <f t="shared" si="1"/>
        <v>-252.59</v>
      </c>
      <c r="R51" s="1">
        <v>-11.045</v>
      </c>
      <c r="S51" s="1">
        <v>-16.175</v>
      </c>
      <c r="T51" s="1">
        <v>-8.055</v>
      </c>
      <c r="U51" s="1">
        <v>-10.75</v>
      </c>
      <c r="V51" s="1">
        <v>-10.1605</v>
      </c>
      <c r="W51" s="1">
        <v>-10.8656363636364</v>
      </c>
      <c r="X51" s="1">
        <v>-10.38</v>
      </c>
      <c r="Y51" s="1">
        <v>0.267154140112</v>
      </c>
      <c r="Z51" s="1">
        <v>0.232012344245217</v>
      </c>
      <c r="AA51" s="1">
        <v>0.599655172413793</v>
      </c>
      <c r="AB51" s="1">
        <v>0.605</v>
      </c>
      <c r="AC51" s="1">
        <v>0.277159565906082</v>
      </c>
      <c r="AD51" s="1">
        <v>0.287370233943371</v>
      </c>
      <c r="AE51" s="1">
        <v>0.722515512513153</v>
      </c>
      <c r="AF51" s="1">
        <v>0.800269809529039</v>
      </c>
      <c r="AG51" s="1" t="s">
        <v>51</v>
      </c>
      <c r="AH51" s="1">
        <v>0.785558190874145</v>
      </c>
      <c r="AI51" s="1">
        <v>0.808651680317509</v>
      </c>
      <c r="AJ51" s="1" t="s">
        <v>51</v>
      </c>
      <c r="AK51" s="1">
        <v>0.812517521075787</v>
      </c>
      <c r="AL51" s="1">
        <v>0.832430375151948</v>
      </c>
      <c r="AM51" s="1">
        <v>0.257175719281598</v>
      </c>
      <c r="AN51" s="1">
        <v>0.601686116427648</v>
      </c>
      <c r="AO51" s="1">
        <v>49</v>
      </c>
    </row>
    <row r="52" s="1" customFormat="1" spans="1:41">
      <c r="A52" s="1" t="s">
        <v>225</v>
      </c>
      <c r="B52" s="1" t="s">
        <v>226</v>
      </c>
      <c r="C52" s="1">
        <v>544.725087</v>
      </c>
      <c r="D52" s="1" t="s">
        <v>227</v>
      </c>
      <c r="E52" s="1" t="s">
        <v>228</v>
      </c>
      <c r="F52" s="1" t="s">
        <v>45</v>
      </c>
      <c r="G52" s="1" t="s">
        <v>46</v>
      </c>
      <c r="H52" s="1">
        <v>8</v>
      </c>
      <c r="I52" s="1">
        <v>64</v>
      </c>
      <c r="J52" s="1">
        <v>62</v>
      </c>
      <c r="K52" s="1">
        <v>96.875</v>
      </c>
      <c r="L52" s="1">
        <v>29</v>
      </c>
      <c r="M52" s="1">
        <v>45.3125</v>
      </c>
      <c r="N52" s="1">
        <v>29</v>
      </c>
      <c r="O52" s="1">
        <v>45.3125</v>
      </c>
      <c r="P52" s="1">
        <v>-7.79627586206897</v>
      </c>
      <c r="Q52" s="1">
        <f t="shared" si="1"/>
        <v>-226.092</v>
      </c>
      <c r="R52" s="1">
        <v>-7.672</v>
      </c>
      <c r="S52" s="1">
        <v>-11.412</v>
      </c>
      <c r="T52" s="1">
        <v>-5.315</v>
      </c>
      <c r="U52" s="1">
        <v>-4.41327586206897</v>
      </c>
      <c r="V52" s="1">
        <v>-4.428</v>
      </c>
      <c r="W52" s="1">
        <v>-5.54596551724138</v>
      </c>
      <c r="X52" s="1">
        <v>-5.29</v>
      </c>
      <c r="Y52" s="1">
        <v>0.342913613719368</v>
      </c>
      <c r="Z52" s="1">
        <v>0.332606374485838</v>
      </c>
      <c r="AA52" s="1">
        <v>0.625081967213115</v>
      </c>
      <c r="AB52" s="1">
        <v>0.61</v>
      </c>
      <c r="AC52" s="1">
        <v>0.226668704273131</v>
      </c>
      <c r="AD52" s="1">
        <v>0.246553609726115</v>
      </c>
      <c r="AE52" s="1">
        <v>0.75926282784668</v>
      </c>
      <c r="AF52" s="1">
        <v>0.806521940339086</v>
      </c>
      <c r="AG52" s="1">
        <v>0.820779459122695</v>
      </c>
      <c r="AH52" s="1">
        <v>0.822058132503424</v>
      </c>
      <c r="AI52" s="1" t="s">
        <v>51</v>
      </c>
      <c r="AJ52" s="1" t="s">
        <v>51</v>
      </c>
      <c r="AK52" s="1">
        <v>0.809087201925821</v>
      </c>
      <c r="AL52" s="1">
        <v>0.810626049035896</v>
      </c>
      <c r="AM52" s="1">
        <v>0.328926352960615</v>
      </c>
      <c r="AN52" s="1">
        <v>0.653670947435302</v>
      </c>
      <c r="AO52" s="1">
        <v>62</v>
      </c>
    </row>
    <row r="53" s="1" customFormat="1" spans="1:41">
      <c r="A53" s="1" t="s">
        <v>229</v>
      </c>
      <c r="B53" s="1" t="s">
        <v>230</v>
      </c>
      <c r="C53" s="1">
        <v>250.720319</v>
      </c>
      <c r="D53" s="1" t="s">
        <v>231</v>
      </c>
      <c r="E53" s="1" t="s">
        <v>232</v>
      </c>
      <c r="F53" s="1" t="s">
        <v>45</v>
      </c>
      <c r="G53" s="1" t="s">
        <v>46</v>
      </c>
      <c r="H53" s="1">
        <v>8</v>
      </c>
      <c r="I53" s="1">
        <v>64</v>
      </c>
      <c r="J53" s="1">
        <v>63</v>
      </c>
      <c r="K53" s="1">
        <v>98.4375</v>
      </c>
      <c r="L53" s="1">
        <v>7</v>
      </c>
      <c r="M53" s="1">
        <v>10.9375</v>
      </c>
      <c r="N53" s="1">
        <v>7</v>
      </c>
      <c r="O53" s="1">
        <v>10.9375</v>
      </c>
      <c r="P53" s="1">
        <v>-8.973</v>
      </c>
      <c r="Q53" s="1">
        <f t="shared" si="1"/>
        <v>-62.811</v>
      </c>
      <c r="R53" s="1">
        <v>-9.222</v>
      </c>
      <c r="S53" s="1">
        <v>-10.571</v>
      </c>
      <c r="T53" s="1">
        <v>-7.57</v>
      </c>
      <c r="U53" s="1">
        <v>-4.323</v>
      </c>
      <c r="V53" s="1">
        <v>-7.546</v>
      </c>
      <c r="W53" s="1">
        <v>-7.56828571428571</v>
      </c>
      <c r="X53" s="1">
        <v>-7.999</v>
      </c>
      <c r="Y53" s="1">
        <v>0.119897062172158</v>
      </c>
      <c r="Z53" s="1">
        <v>0.123002853615764</v>
      </c>
      <c r="AA53" s="1">
        <v>0.574444444444445</v>
      </c>
      <c r="AB53" s="1">
        <v>0.56</v>
      </c>
      <c r="AC53" s="1">
        <v>0.182669730889553</v>
      </c>
      <c r="AD53" s="1">
        <v>0.196291174275928</v>
      </c>
      <c r="AE53" s="1">
        <v>0.78161602761645</v>
      </c>
      <c r="AF53" s="1">
        <v>0.815074183934803</v>
      </c>
      <c r="AG53" s="1" t="s">
        <v>51</v>
      </c>
      <c r="AH53" s="1">
        <v>0.775645254692094</v>
      </c>
      <c r="AI53" s="1">
        <v>0.800095807330631</v>
      </c>
      <c r="AJ53" s="1">
        <v>0.7919789094459</v>
      </c>
      <c r="AK53" s="1">
        <v>0.821613047875595</v>
      </c>
      <c r="AL53" s="1">
        <v>0.810296174002812</v>
      </c>
      <c r="AM53" s="1">
        <v>0.284268528454135</v>
      </c>
      <c r="AN53" s="1">
        <v>0.687763831403294</v>
      </c>
      <c r="AO53" s="1">
        <v>59</v>
      </c>
    </row>
    <row r="54" s="1" customFormat="1" spans="1:41">
      <c r="A54" s="1" t="s">
        <v>233</v>
      </c>
      <c r="B54" s="1" t="s">
        <v>234</v>
      </c>
      <c r="C54" s="1">
        <v>1216.316099</v>
      </c>
      <c r="D54" s="1" t="s">
        <v>235</v>
      </c>
      <c r="E54" s="1" t="s">
        <v>236</v>
      </c>
      <c r="F54" s="1" t="s">
        <v>45</v>
      </c>
      <c r="G54" s="1" t="s">
        <v>46</v>
      </c>
      <c r="H54" s="1">
        <v>8</v>
      </c>
      <c r="I54" s="1">
        <v>64</v>
      </c>
      <c r="J54" s="1">
        <v>63</v>
      </c>
      <c r="K54" s="1">
        <v>98.4375</v>
      </c>
      <c r="L54" s="1">
        <v>31</v>
      </c>
      <c r="M54" s="1">
        <v>48.4375</v>
      </c>
      <c r="N54" s="1">
        <v>31</v>
      </c>
      <c r="O54" s="1">
        <v>48.4375</v>
      </c>
      <c r="P54" s="1">
        <v>-8.70245161290322</v>
      </c>
      <c r="Q54" s="1">
        <f t="shared" si="1"/>
        <v>-269.776</v>
      </c>
      <c r="R54" s="1">
        <v>-8.698</v>
      </c>
      <c r="S54" s="1">
        <v>-11.119</v>
      </c>
      <c r="T54" s="1">
        <v>-7.097</v>
      </c>
      <c r="U54" s="1">
        <v>-6.19574193548387</v>
      </c>
      <c r="V54" s="1">
        <v>-6.612</v>
      </c>
      <c r="W54" s="1">
        <v>-6.72358064516129</v>
      </c>
      <c r="X54" s="1">
        <v>-6.963</v>
      </c>
      <c r="Y54" s="1">
        <v>0.157228210510869</v>
      </c>
      <c r="Z54" s="1">
        <v>0.122139860886808</v>
      </c>
      <c r="AA54" s="1">
        <v>0.587301587301587</v>
      </c>
      <c r="AB54" s="1">
        <v>0.59</v>
      </c>
      <c r="AC54" s="1">
        <v>0.162830120930594</v>
      </c>
      <c r="AD54" s="1">
        <v>0.159045712769395</v>
      </c>
      <c r="AE54" s="1">
        <v>0.749857585487012</v>
      </c>
      <c r="AF54" s="1">
        <v>0.801780071414432</v>
      </c>
      <c r="AG54" s="1">
        <v>0.782909956667436</v>
      </c>
      <c r="AH54" s="1">
        <v>0.791445843823424</v>
      </c>
      <c r="AI54" s="1">
        <v>0.817271840668287</v>
      </c>
      <c r="AJ54" s="1">
        <v>0.832554611157698</v>
      </c>
      <c r="AK54" s="1">
        <v>0.801932383100448</v>
      </c>
      <c r="AL54" s="1">
        <v>0.819033603205738</v>
      </c>
      <c r="AM54" s="1">
        <v>0.252923522499672</v>
      </c>
      <c r="AN54" s="1">
        <v>0.629672742750156</v>
      </c>
      <c r="AO54" s="1">
        <v>52</v>
      </c>
    </row>
    <row r="55" s="1" customFormat="1" spans="1:41">
      <c r="A55" s="1" t="s">
        <v>237</v>
      </c>
      <c r="B55" s="1" t="s">
        <v>238</v>
      </c>
      <c r="C55" s="1">
        <v>754.451793</v>
      </c>
      <c r="D55" s="1" t="s">
        <v>239</v>
      </c>
      <c r="E55" s="1" t="s">
        <v>240</v>
      </c>
      <c r="F55" s="1" t="s">
        <v>45</v>
      </c>
      <c r="G55" s="1" t="s">
        <v>46</v>
      </c>
      <c r="H55" s="1">
        <v>8</v>
      </c>
      <c r="I55" s="1">
        <v>64</v>
      </c>
      <c r="J55" s="1">
        <v>61</v>
      </c>
      <c r="K55" s="1">
        <v>95.3125</v>
      </c>
      <c r="L55" s="1">
        <v>17</v>
      </c>
      <c r="M55" s="1">
        <v>26.5625</v>
      </c>
      <c r="N55" s="1">
        <v>17</v>
      </c>
      <c r="O55" s="1">
        <v>26.5625</v>
      </c>
      <c r="P55" s="1">
        <v>-8.04935294117647</v>
      </c>
      <c r="Q55" s="1">
        <f t="shared" si="1"/>
        <v>-136.839</v>
      </c>
      <c r="R55" s="1">
        <v>-8.433</v>
      </c>
      <c r="S55" s="1">
        <v>-9.969</v>
      </c>
      <c r="T55" s="1">
        <v>-5.497</v>
      </c>
      <c r="U55" s="1">
        <v>-4.86352941176471</v>
      </c>
      <c r="V55" s="1">
        <v>-4.976</v>
      </c>
      <c r="W55" s="1">
        <v>-5.29458823529412</v>
      </c>
      <c r="X55" s="1">
        <v>-5.442</v>
      </c>
      <c r="Y55" s="1">
        <v>0.234511959828317</v>
      </c>
      <c r="Z55" s="1">
        <v>0.190115508531125</v>
      </c>
      <c r="AA55" s="1">
        <v>0.635081967213115</v>
      </c>
      <c r="AB55" s="1">
        <v>0.64</v>
      </c>
      <c r="AC55" s="1">
        <v>0.187356927915221</v>
      </c>
      <c r="AD55" s="1">
        <v>0.169271967708249</v>
      </c>
      <c r="AE55" s="1">
        <v>0.745544109488654</v>
      </c>
      <c r="AF55" s="1">
        <v>0.79191526710884</v>
      </c>
      <c r="AG55" s="1">
        <v>0.832482990492531</v>
      </c>
      <c r="AH55" s="1">
        <v>0.79671584448303</v>
      </c>
      <c r="AI55" s="1">
        <v>0.811184960146988</v>
      </c>
      <c r="AJ55" s="1">
        <v>0.827559481376838</v>
      </c>
      <c r="AK55" s="1">
        <v>0.799785525177897</v>
      </c>
      <c r="AL55" s="1">
        <v>0.790408088791371</v>
      </c>
      <c r="AM55" s="1">
        <v>0.281211621596713</v>
      </c>
      <c r="AN55" s="1">
        <v>0.613560985872449</v>
      </c>
      <c r="AO55" s="1">
        <v>57</v>
      </c>
    </row>
    <row r="56" s="1" customFormat="1" spans="1:41">
      <c r="A56" s="1" t="s">
        <v>241</v>
      </c>
      <c r="B56" s="1" t="s">
        <v>242</v>
      </c>
      <c r="C56" s="1">
        <v>324.196682</v>
      </c>
      <c r="D56" s="1" t="s">
        <v>243</v>
      </c>
      <c r="E56" s="1" t="s">
        <v>244</v>
      </c>
      <c r="F56" s="1" t="s">
        <v>45</v>
      </c>
      <c r="G56" s="1" t="s">
        <v>46</v>
      </c>
      <c r="H56" s="1">
        <v>8</v>
      </c>
      <c r="I56" s="1">
        <v>64</v>
      </c>
      <c r="J56" s="1">
        <v>61</v>
      </c>
      <c r="K56" s="1">
        <v>95.3125</v>
      </c>
      <c r="L56" s="1">
        <v>27</v>
      </c>
      <c r="M56" s="1">
        <v>42.1875</v>
      </c>
      <c r="N56" s="1">
        <v>27</v>
      </c>
      <c r="O56" s="1">
        <v>42.1875</v>
      </c>
      <c r="P56" s="1">
        <v>-5.38981481481482</v>
      </c>
      <c r="Q56" s="1">
        <f t="shared" si="1"/>
        <v>-145.525</v>
      </c>
      <c r="R56" s="1">
        <v>-5.199</v>
      </c>
      <c r="S56" s="1">
        <v>-9.312</v>
      </c>
      <c r="T56" s="1">
        <v>-4.058</v>
      </c>
      <c r="U56" s="1">
        <v>-2.8212962962963</v>
      </c>
      <c r="V56" s="1">
        <v>-3.142</v>
      </c>
      <c r="W56" s="1">
        <v>-3.36951851851852</v>
      </c>
      <c r="X56" s="1">
        <v>-3.456</v>
      </c>
      <c r="Y56" s="1">
        <v>0.383973295235415</v>
      </c>
      <c r="Z56" s="1">
        <v>0.393061882145385</v>
      </c>
      <c r="AA56" s="1">
        <v>0.692295081967213</v>
      </c>
      <c r="AB56" s="1">
        <v>0.69</v>
      </c>
      <c r="AC56" s="1">
        <v>0.26460585398744</v>
      </c>
      <c r="AD56" s="1">
        <v>0.280855111086862</v>
      </c>
      <c r="AE56" s="1">
        <v>0.760811317644512</v>
      </c>
      <c r="AF56" s="1">
        <v>0.802572400237867</v>
      </c>
      <c r="AG56" s="1">
        <v>0.832278290751395</v>
      </c>
      <c r="AH56" s="1">
        <v>0.80867635999339</v>
      </c>
      <c r="AI56" s="1">
        <v>0.81917779195985</v>
      </c>
      <c r="AJ56" s="1">
        <v>0.828091666491867</v>
      </c>
      <c r="AK56" s="1">
        <v>0.821448736667158</v>
      </c>
      <c r="AL56" s="1">
        <v>0.826431487885155</v>
      </c>
      <c r="AM56" s="1">
        <v>0.408792051597765</v>
      </c>
      <c r="AN56" s="1">
        <v>0.668645059160969</v>
      </c>
      <c r="AO56" s="1">
        <v>78</v>
      </c>
    </row>
    <row r="57" s="1" customFormat="1" spans="1:41">
      <c r="A57" s="1" t="s">
        <v>245</v>
      </c>
      <c r="B57" s="1" t="s">
        <v>246</v>
      </c>
      <c r="C57" s="1">
        <v>404.399776</v>
      </c>
      <c r="D57" s="1" t="s">
        <v>247</v>
      </c>
      <c r="E57" s="1" t="s">
        <v>248</v>
      </c>
      <c r="F57" s="1" t="s">
        <v>45</v>
      </c>
      <c r="G57" s="1" t="s">
        <v>46</v>
      </c>
      <c r="H57" s="1">
        <v>8</v>
      </c>
      <c r="I57" s="1">
        <v>64</v>
      </c>
      <c r="J57" s="1">
        <v>61</v>
      </c>
      <c r="K57" s="1">
        <v>95.3125</v>
      </c>
      <c r="L57" s="1">
        <v>21</v>
      </c>
      <c r="M57" s="1">
        <v>32.8125</v>
      </c>
      <c r="N57" s="1">
        <v>21</v>
      </c>
      <c r="O57" s="1">
        <v>32.8125</v>
      </c>
      <c r="P57" s="1">
        <v>-6.89919047619048</v>
      </c>
      <c r="Q57" s="1">
        <f t="shared" si="1"/>
        <v>-144.883</v>
      </c>
      <c r="R57" s="1">
        <v>-7.243</v>
      </c>
      <c r="S57" s="1">
        <v>-8.765</v>
      </c>
      <c r="T57" s="1">
        <v>-4.885</v>
      </c>
      <c r="U57" s="1">
        <v>-4.27480952380952</v>
      </c>
      <c r="V57" s="1">
        <v>-4.119</v>
      </c>
      <c r="W57" s="1">
        <v>-4.86457142857143</v>
      </c>
      <c r="X57" s="1">
        <v>-5.065</v>
      </c>
      <c r="Y57" s="1">
        <v>0.227472529139438</v>
      </c>
      <c r="Z57" s="1">
        <v>0.19893403556591</v>
      </c>
      <c r="AA57" s="1">
        <v>0.601</v>
      </c>
      <c r="AB57" s="1">
        <v>0.58</v>
      </c>
      <c r="AC57" s="1">
        <v>0.27798106320696</v>
      </c>
      <c r="AD57" s="1">
        <v>0.297406113396754</v>
      </c>
      <c r="AE57" s="1">
        <v>0.783650123031536</v>
      </c>
      <c r="AF57" s="1">
        <v>0.812016855680506</v>
      </c>
      <c r="AG57" s="1" t="s">
        <v>51</v>
      </c>
      <c r="AH57" s="1">
        <v>0.813598906740835</v>
      </c>
      <c r="AI57" s="1">
        <v>0.818463676309966</v>
      </c>
      <c r="AJ57" s="1" t="s">
        <v>51</v>
      </c>
      <c r="AK57" s="1">
        <v>0.81240614035329</v>
      </c>
      <c r="AL57" s="1">
        <v>0.812825024120162</v>
      </c>
      <c r="AM57" s="1">
        <v>0.335912784174887</v>
      </c>
      <c r="AN57" s="1">
        <v>0.699842472114126</v>
      </c>
      <c r="AO57" s="1">
        <v>67</v>
      </c>
    </row>
    <row r="58" s="1" customFormat="1" spans="1:41">
      <c r="A58" s="1" t="s">
        <v>249</v>
      </c>
      <c r="B58" s="1" t="s">
        <v>250</v>
      </c>
      <c r="C58" s="1">
        <v>384.296824</v>
      </c>
      <c r="D58" s="1" t="s">
        <v>251</v>
      </c>
      <c r="E58" s="1" t="s">
        <v>252</v>
      </c>
      <c r="F58" s="1" t="s">
        <v>45</v>
      </c>
      <c r="G58" s="1" t="s">
        <v>46</v>
      </c>
      <c r="H58" s="1">
        <v>8</v>
      </c>
      <c r="I58" s="1">
        <v>64</v>
      </c>
      <c r="J58" s="1">
        <v>62</v>
      </c>
      <c r="K58" s="1">
        <v>96.875</v>
      </c>
      <c r="L58" s="1">
        <v>23</v>
      </c>
      <c r="M58" s="1">
        <v>35.9375</v>
      </c>
      <c r="N58" s="1">
        <v>23</v>
      </c>
      <c r="O58" s="1">
        <v>35.9375</v>
      </c>
      <c r="P58" s="1">
        <v>-6.55286956521739</v>
      </c>
      <c r="Q58" s="1">
        <f t="shared" si="1"/>
        <v>-150.716</v>
      </c>
      <c r="R58" s="1">
        <v>-6.404</v>
      </c>
      <c r="S58" s="1">
        <v>-7.81</v>
      </c>
      <c r="T58" s="1">
        <v>-5.795</v>
      </c>
      <c r="U58" s="1">
        <v>-4.26973913043478</v>
      </c>
      <c r="V58" s="1">
        <v>-4.252</v>
      </c>
      <c r="W58" s="1">
        <v>-4.55660869565217</v>
      </c>
      <c r="X58" s="1">
        <v>-4.603</v>
      </c>
      <c r="Y58" s="1">
        <v>0.404927239768238</v>
      </c>
      <c r="Z58" s="1">
        <v>0.40895528699592</v>
      </c>
      <c r="AA58" s="1">
        <v>0.698225806451613</v>
      </c>
      <c r="AB58" s="1">
        <v>0.71</v>
      </c>
      <c r="AC58" s="1">
        <v>0.244995208947277</v>
      </c>
      <c r="AD58" s="1">
        <v>0.245042433253394</v>
      </c>
      <c r="AE58" s="1">
        <v>0.764845386025609</v>
      </c>
      <c r="AF58" s="1">
        <v>0.798969041747699</v>
      </c>
      <c r="AG58" s="1" t="s">
        <v>51</v>
      </c>
      <c r="AH58" s="1">
        <v>0.818103830859387</v>
      </c>
      <c r="AI58" s="1" t="s">
        <v>51</v>
      </c>
      <c r="AJ58" s="1" t="s">
        <v>51</v>
      </c>
      <c r="AK58" s="1">
        <v>0.808725695364904</v>
      </c>
      <c r="AL58" s="1">
        <v>0.804124894779918</v>
      </c>
      <c r="AM58" s="1">
        <v>0.387360225011125</v>
      </c>
      <c r="AN58" s="1">
        <v>0.628288073356932</v>
      </c>
      <c r="AO58" s="1">
        <v>23</v>
      </c>
    </row>
    <row r="59" s="1" customFormat="1" spans="1:41">
      <c r="A59" s="1" t="s">
        <v>253</v>
      </c>
      <c r="B59" s="1" t="s">
        <v>254</v>
      </c>
      <c r="C59" s="1">
        <v>514.248453</v>
      </c>
      <c r="D59" s="1" t="s">
        <v>255</v>
      </c>
      <c r="E59" s="1" t="s">
        <v>256</v>
      </c>
      <c r="F59" s="1" t="s">
        <v>45</v>
      </c>
      <c r="G59" s="1" t="s">
        <v>46</v>
      </c>
      <c r="H59" s="1">
        <v>8</v>
      </c>
      <c r="I59" s="1">
        <v>64</v>
      </c>
      <c r="J59" s="1">
        <v>62</v>
      </c>
      <c r="K59" s="1">
        <v>96.875</v>
      </c>
      <c r="L59" s="1">
        <v>36</v>
      </c>
      <c r="M59" s="1">
        <v>56.25</v>
      </c>
      <c r="N59" s="1">
        <v>36</v>
      </c>
      <c r="O59" s="1">
        <v>56.25</v>
      </c>
      <c r="P59" s="1">
        <v>-7.99813888888889</v>
      </c>
      <c r="Q59" s="1">
        <f t="shared" si="1"/>
        <v>-287.933</v>
      </c>
      <c r="R59" s="1">
        <v>-8.047</v>
      </c>
      <c r="S59" s="1">
        <v>-10.622</v>
      </c>
      <c r="T59" s="1">
        <v>-4.741</v>
      </c>
      <c r="U59" s="1">
        <v>5.44163888888889</v>
      </c>
      <c r="V59" s="1">
        <v>-4.8965</v>
      </c>
      <c r="W59" s="1">
        <v>-4.779</v>
      </c>
      <c r="X59" s="1">
        <v>-5.594</v>
      </c>
      <c r="Y59" s="1">
        <v>0.349246045232288</v>
      </c>
      <c r="Z59" s="1">
        <v>0.328575121489282</v>
      </c>
      <c r="AA59" s="1">
        <v>0.685322580645161</v>
      </c>
      <c r="AB59" s="1">
        <v>0.68</v>
      </c>
      <c r="AC59" s="1">
        <v>0.267850186130502</v>
      </c>
      <c r="AD59" s="1">
        <v>0.261646123993774</v>
      </c>
      <c r="AE59" s="1">
        <v>0.74359153841905</v>
      </c>
      <c r="AF59" s="1">
        <v>0.807706679124477</v>
      </c>
      <c r="AG59" s="1">
        <v>0.781012506466929</v>
      </c>
      <c r="AH59" s="1">
        <v>0.797516490808706</v>
      </c>
      <c r="AI59" s="1">
        <v>0.820682266501828</v>
      </c>
      <c r="AJ59" s="1" t="s">
        <v>51</v>
      </c>
      <c r="AK59" s="1">
        <v>0.817080637040614</v>
      </c>
      <c r="AL59" s="1">
        <v>0.816896248199916</v>
      </c>
      <c r="AM59" s="1">
        <v>0.335024751827075</v>
      </c>
      <c r="AN59" s="1">
        <v>0.611933552221553</v>
      </c>
      <c r="AO59" s="1">
        <v>74</v>
      </c>
    </row>
    <row r="60" s="1" customFormat="1" spans="1:41">
      <c r="A60" s="1" t="s">
        <v>257</v>
      </c>
      <c r="B60" s="1" t="s">
        <v>258</v>
      </c>
      <c r="C60" s="1">
        <v>461.353373</v>
      </c>
      <c r="D60" s="1" t="s">
        <v>259</v>
      </c>
      <c r="E60" s="1" t="s">
        <v>260</v>
      </c>
      <c r="F60" s="1" t="s">
        <v>45</v>
      </c>
      <c r="G60" s="1" t="s">
        <v>46</v>
      </c>
      <c r="H60" s="1">
        <v>8</v>
      </c>
      <c r="I60" s="1">
        <v>64</v>
      </c>
      <c r="J60" s="1">
        <v>63</v>
      </c>
      <c r="K60" s="1">
        <v>98.4375</v>
      </c>
      <c r="L60" s="1">
        <v>44</v>
      </c>
      <c r="M60" s="1">
        <v>68.75</v>
      </c>
      <c r="N60" s="1">
        <v>44</v>
      </c>
      <c r="O60" s="1">
        <v>68.75</v>
      </c>
      <c r="P60" s="1">
        <v>-5.56893181818182</v>
      </c>
      <c r="Q60" s="1">
        <f t="shared" si="1"/>
        <v>-245.033</v>
      </c>
      <c r="R60" s="1">
        <v>-5.108</v>
      </c>
      <c r="S60" s="1">
        <v>-11.738</v>
      </c>
      <c r="T60" s="1">
        <v>-3.903</v>
      </c>
      <c r="U60" s="1">
        <v>-2.38536363636364</v>
      </c>
      <c r="V60" s="1">
        <v>-2.952</v>
      </c>
      <c r="W60" s="1">
        <v>-3.67940909090909</v>
      </c>
      <c r="X60" s="1">
        <v>-3.635</v>
      </c>
      <c r="Y60" s="1">
        <v>0.414047508701654</v>
      </c>
      <c r="Z60" s="1">
        <v>0.432008786372487</v>
      </c>
      <c r="AA60" s="1">
        <v>0.700161290322581</v>
      </c>
      <c r="AB60" s="1">
        <v>0.695</v>
      </c>
      <c r="AC60" s="1">
        <v>0.213583593783388</v>
      </c>
      <c r="AD60" s="1">
        <v>0.24190614713048</v>
      </c>
      <c r="AE60" s="1">
        <v>0.793553045945829</v>
      </c>
      <c r="AF60" s="1">
        <v>0.816283598978719</v>
      </c>
      <c r="AG60" s="1">
        <v>0.789978106178485</v>
      </c>
      <c r="AH60" s="1">
        <v>0.809767345775672</v>
      </c>
      <c r="AI60" s="1">
        <v>0.826647182667714</v>
      </c>
      <c r="AJ60" s="1" t="s">
        <v>51</v>
      </c>
      <c r="AK60" s="1">
        <v>0.821013815596537</v>
      </c>
      <c r="AL60" s="1">
        <v>0.818512899089261</v>
      </c>
      <c r="AM60" s="1">
        <v>0.5679055775414</v>
      </c>
      <c r="AN60" s="1">
        <v>0.727987127010104</v>
      </c>
      <c r="AO60" s="1">
        <v>55</v>
      </c>
    </row>
    <row r="61" s="1" customFormat="1" spans="1:41">
      <c r="A61" s="1" t="s">
        <v>261</v>
      </c>
      <c r="B61" s="1" t="s">
        <v>262</v>
      </c>
      <c r="C61" s="1">
        <v>656.748683</v>
      </c>
      <c r="D61" s="1" t="s">
        <v>263</v>
      </c>
      <c r="E61" s="1" t="s">
        <v>264</v>
      </c>
      <c r="F61" s="1" t="s">
        <v>45</v>
      </c>
      <c r="G61" s="1" t="s">
        <v>46</v>
      </c>
      <c r="H61" s="1">
        <v>8</v>
      </c>
      <c r="I61" s="1">
        <v>64</v>
      </c>
      <c r="J61" s="1">
        <v>63</v>
      </c>
      <c r="K61" s="1">
        <v>98.4375</v>
      </c>
      <c r="L61" s="1">
        <v>24</v>
      </c>
      <c r="M61" s="1">
        <v>37.5</v>
      </c>
      <c r="N61" s="1">
        <v>24</v>
      </c>
      <c r="O61" s="1">
        <v>37.5</v>
      </c>
      <c r="P61" s="1">
        <v>-9.221875</v>
      </c>
      <c r="Q61" s="1">
        <f t="shared" si="1"/>
        <v>-221.325</v>
      </c>
      <c r="R61" s="1">
        <v>-9.194</v>
      </c>
      <c r="S61" s="1">
        <v>-12.071</v>
      </c>
      <c r="T61" s="1">
        <v>-7.617</v>
      </c>
      <c r="U61" s="1">
        <v>-7.10879166666667</v>
      </c>
      <c r="V61" s="1">
        <v>-6.7945</v>
      </c>
      <c r="W61" s="1">
        <v>-7.422</v>
      </c>
      <c r="X61" s="1">
        <v>-7.1035</v>
      </c>
      <c r="Y61" s="1">
        <v>0.264378120525385</v>
      </c>
      <c r="Z61" s="1">
        <v>0.245882728476376</v>
      </c>
      <c r="AA61" s="1">
        <v>0.586984126984127</v>
      </c>
      <c r="AB61" s="1">
        <v>0.59</v>
      </c>
      <c r="AC61" s="1">
        <v>0.184207022879079</v>
      </c>
      <c r="AD61" s="1">
        <v>0.180516709872871</v>
      </c>
      <c r="AE61" s="1">
        <v>0.732114695573778</v>
      </c>
      <c r="AF61" s="1">
        <v>0.793189019932128</v>
      </c>
      <c r="AG61" s="1" t="s">
        <v>51</v>
      </c>
      <c r="AH61" s="1">
        <v>0.79985503430903</v>
      </c>
      <c r="AI61" s="1">
        <v>0.819800217779662</v>
      </c>
      <c r="AJ61" s="1" t="s">
        <v>51</v>
      </c>
      <c r="AK61" s="1">
        <v>0.805680952039512</v>
      </c>
      <c r="AL61" s="1">
        <v>0.790341670965174</v>
      </c>
      <c r="AM61" s="1">
        <v>0.294656804453582</v>
      </c>
      <c r="AN61" s="1">
        <v>0.615364894076159</v>
      </c>
      <c r="AO61" s="1">
        <v>68</v>
      </c>
    </row>
    <row r="62" s="1" customFormat="1" spans="1:41">
      <c r="A62" s="1" t="s">
        <v>195</v>
      </c>
      <c r="B62" s="1" t="s">
        <v>265</v>
      </c>
      <c r="C62" s="1">
        <v>616.600192</v>
      </c>
      <c r="D62" s="1" t="s">
        <v>266</v>
      </c>
      <c r="E62" s="1" t="s">
        <v>267</v>
      </c>
      <c r="F62" s="1" t="s">
        <v>45</v>
      </c>
      <c r="G62" s="1" t="s">
        <v>46</v>
      </c>
      <c r="H62" s="1">
        <v>8</v>
      </c>
      <c r="I62" s="1">
        <v>64</v>
      </c>
      <c r="J62" s="1">
        <v>58</v>
      </c>
      <c r="K62" s="1">
        <v>90.625</v>
      </c>
      <c r="L62" s="1">
        <v>11</v>
      </c>
      <c r="M62" s="1">
        <v>17.1875</v>
      </c>
      <c r="N62" s="1">
        <v>11</v>
      </c>
      <c r="O62" s="1">
        <v>17.1875</v>
      </c>
      <c r="P62" s="1">
        <v>-11.0974545454545</v>
      </c>
      <c r="Q62" s="1">
        <f t="shared" si="1"/>
        <v>-122.072</v>
      </c>
      <c r="R62" s="1">
        <v>-11.236</v>
      </c>
      <c r="S62" s="1">
        <v>-13.223</v>
      </c>
      <c r="T62" s="1">
        <v>-9.363</v>
      </c>
      <c r="U62" s="1">
        <v>-10.9435454545455</v>
      </c>
      <c r="V62" s="1">
        <v>-10.646</v>
      </c>
      <c r="W62" s="1">
        <v>-11.0802727272727</v>
      </c>
      <c r="X62" s="1">
        <v>-10.972</v>
      </c>
      <c r="Y62" s="1">
        <v>0.108175487322088</v>
      </c>
      <c r="Z62" s="1">
        <v>0.0840086951087135</v>
      </c>
      <c r="AA62" s="1">
        <v>0.510877192982456</v>
      </c>
      <c r="AB62" s="1">
        <v>0.49</v>
      </c>
      <c r="AC62" s="1">
        <v>0.262976417576677</v>
      </c>
      <c r="AD62" s="1">
        <v>0.284221903947486</v>
      </c>
      <c r="AE62" s="1">
        <v>0.720382236636099</v>
      </c>
      <c r="AF62" s="1">
        <v>0.786276489569376</v>
      </c>
      <c r="AG62" s="1">
        <v>0.822311882568532</v>
      </c>
      <c r="AH62" s="1">
        <v>0.784311861442365</v>
      </c>
      <c r="AI62" s="1">
        <v>0.82137177897613</v>
      </c>
      <c r="AJ62" s="1">
        <v>0.771322512001824</v>
      </c>
      <c r="AK62" s="1">
        <v>0.818536617490599</v>
      </c>
      <c r="AL62" s="1">
        <v>0.799488285161898</v>
      </c>
      <c r="AM62" s="1">
        <v>0.279738975239141</v>
      </c>
      <c r="AN62" s="1">
        <v>0.598983904053833</v>
      </c>
      <c r="AO62" s="1">
        <v>72</v>
      </c>
    </row>
    <row r="63" s="1" customFormat="1" spans="1:41">
      <c r="A63" s="1" t="s">
        <v>268</v>
      </c>
      <c r="B63" s="1" t="s">
        <v>269</v>
      </c>
      <c r="C63" s="1">
        <v>822.971815</v>
      </c>
      <c r="D63" s="1" t="s">
        <v>270</v>
      </c>
      <c r="E63" s="1" t="s">
        <v>271</v>
      </c>
      <c r="F63" s="1" t="s">
        <v>45</v>
      </c>
      <c r="G63" s="1" t="s">
        <v>46</v>
      </c>
      <c r="H63" s="1">
        <v>8</v>
      </c>
      <c r="I63" s="1">
        <v>64</v>
      </c>
      <c r="J63" s="1">
        <v>63</v>
      </c>
      <c r="K63" s="1">
        <v>98.4375</v>
      </c>
      <c r="L63" s="1">
        <v>44</v>
      </c>
      <c r="M63" s="1">
        <v>68.75</v>
      </c>
      <c r="N63" s="1">
        <v>44</v>
      </c>
      <c r="O63" s="1">
        <v>68.75</v>
      </c>
      <c r="P63" s="1">
        <v>-7.23979545454545</v>
      </c>
      <c r="Q63" s="1">
        <f t="shared" si="1"/>
        <v>-318.551</v>
      </c>
      <c r="R63" s="1">
        <v>-6.8075</v>
      </c>
      <c r="S63" s="1">
        <v>-11.297</v>
      </c>
      <c r="T63" s="1">
        <v>-3.842</v>
      </c>
      <c r="U63" s="1">
        <v>-3.31365909090909</v>
      </c>
      <c r="V63" s="1">
        <v>-4.442</v>
      </c>
      <c r="W63" s="1">
        <v>-5.57438636363636</v>
      </c>
      <c r="X63" s="1">
        <v>-5.13</v>
      </c>
      <c r="Y63" s="1">
        <v>0.293049670073999</v>
      </c>
      <c r="Z63" s="1">
        <v>0.271917730614962</v>
      </c>
      <c r="AA63" s="1">
        <v>0.643968253968254</v>
      </c>
      <c r="AB63" s="1">
        <v>0.67</v>
      </c>
      <c r="AC63" s="1">
        <v>0.258712010034165</v>
      </c>
      <c r="AD63" s="1">
        <v>0.251603544336639</v>
      </c>
      <c r="AE63" s="1">
        <v>0.749840133641178</v>
      </c>
      <c r="AF63" s="1">
        <v>0.794042806053288</v>
      </c>
      <c r="AG63" s="1">
        <v>0.758487759069061</v>
      </c>
      <c r="AH63" s="1">
        <v>0.782049130934928</v>
      </c>
      <c r="AI63" s="1">
        <v>0.808238059298774</v>
      </c>
      <c r="AJ63" s="1">
        <v>0.80108711864948</v>
      </c>
      <c r="AK63" s="1">
        <v>0.80755195306495</v>
      </c>
      <c r="AL63" s="1">
        <v>0.809700538134919</v>
      </c>
      <c r="AM63" s="1">
        <v>0.332695620012704</v>
      </c>
      <c r="AN63" s="1">
        <v>0.618846260030084</v>
      </c>
      <c r="AO63" s="1">
        <v>33</v>
      </c>
    </row>
    <row r="64" s="1" customFormat="1" spans="1:41">
      <c r="A64" s="1" t="s">
        <v>272</v>
      </c>
      <c r="B64" s="1" t="s">
        <v>273</v>
      </c>
      <c r="C64" s="1">
        <v>1495.7127</v>
      </c>
      <c r="D64" s="1" t="s">
        <v>274</v>
      </c>
      <c r="E64" s="1" t="s">
        <v>275</v>
      </c>
      <c r="F64" s="1" t="s">
        <v>45</v>
      </c>
      <c r="G64" s="1" t="s">
        <v>46</v>
      </c>
      <c r="H64" s="1">
        <v>8</v>
      </c>
      <c r="I64" s="1">
        <v>64</v>
      </c>
      <c r="J64" s="1">
        <v>64</v>
      </c>
      <c r="K64" s="1">
        <v>100</v>
      </c>
      <c r="L64" s="1">
        <v>44</v>
      </c>
      <c r="M64" s="1">
        <v>68.75</v>
      </c>
      <c r="N64" s="1">
        <v>44</v>
      </c>
      <c r="O64" s="1">
        <v>68.75</v>
      </c>
      <c r="P64" s="1">
        <v>-9.71886363636364</v>
      </c>
      <c r="Q64" s="1">
        <f t="shared" si="1"/>
        <v>-427.63</v>
      </c>
      <c r="R64" s="1">
        <v>-9.415</v>
      </c>
      <c r="S64" s="1">
        <v>-14.001</v>
      </c>
      <c r="T64" s="1">
        <v>-7.039</v>
      </c>
      <c r="U64" s="1">
        <v>-7.70531818181818</v>
      </c>
      <c r="V64" s="1">
        <v>-7.9915</v>
      </c>
      <c r="W64" s="1">
        <v>-8.63886363636364</v>
      </c>
      <c r="X64" s="1">
        <v>-8.249</v>
      </c>
      <c r="Y64" s="1">
        <v>0.131894239274886</v>
      </c>
      <c r="Z64" s="1">
        <v>0.111902616036792</v>
      </c>
      <c r="AA64" s="1">
        <v>0.518125</v>
      </c>
      <c r="AB64" s="1">
        <v>0.51</v>
      </c>
      <c r="AC64" s="1">
        <v>0.204258263330684</v>
      </c>
      <c r="AD64" s="1">
        <v>0.207203052553814</v>
      </c>
      <c r="AE64" s="1">
        <v>0.761666660836531</v>
      </c>
      <c r="AF64" s="1">
        <v>0.812295197745498</v>
      </c>
      <c r="AG64" s="1">
        <v>0.831001033410527</v>
      </c>
      <c r="AH64" s="1">
        <v>0.778933360759806</v>
      </c>
      <c r="AI64" s="1">
        <v>0.811133362604829</v>
      </c>
      <c r="AJ64" s="1">
        <v>0.800379009387063</v>
      </c>
      <c r="AK64" s="1">
        <v>0.807181217484412</v>
      </c>
      <c r="AL64" s="1">
        <v>0.819652282763101</v>
      </c>
      <c r="AM64" s="1">
        <v>0.265342926601002</v>
      </c>
      <c r="AN64" s="1">
        <v>0.658293652230297</v>
      </c>
      <c r="AO64" s="1">
        <v>44</v>
      </c>
    </row>
    <row r="65" s="1" customFormat="1" spans="1:41">
      <c r="A65" s="1" t="s">
        <v>237</v>
      </c>
      <c r="B65" s="1" t="s">
        <v>276</v>
      </c>
      <c r="C65" s="1">
        <v>966.933957</v>
      </c>
      <c r="D65" s="1" t="s">
        <v>277</v>
      </c>
      <c r="E65" s="1" t="s">
        <v>278</v>
      </c>
      <c r="F65" s="1" t="s">
        <v>45</v>
      </c>
      <c r="G65" s="1" t="s">
        <v>46</v>
      </c>
      <c r="H65" s="1">
        <v>8</v>
      </c>
      <c r="I65" s="1">
        <v>64</v>
      </c>
      <c r="J65" s="1">
        <v>60</v>
      </c>
      <c r="K65" s="1">
        <v>93.75</v>
      </c>
      <c r="L65" s="1">
        <v>36</v>
      </c>
      <c r="M65" s="1">
        <v>56.25</v>
      </c>
      <c r="N65" s="1">
        <v>36</v>
      </c>
      <c r="O65" s="1">
        <v>56.25</v>
      </c>
      <c r="P65" s="1">
        <v>-7.69625</v>
      </c>
      <c r="Q65" s="1">
        <f t="shared" si="1"/>
        <v>-277.065</v>
      </c>
      <c r="R65" s="1">
        <v>-7.4575</v>
      </c>
      <c r="S65" s="1">
        <v>-10.344</v>
      </c>
      <c r="T65" s="1">
        <v>-6.271</v>
      </c>
      <c r="U65" s="1">
        <v>-4.45725</v>
      </c>
      <c r="V65" s="1">
        <v>-4.424</v>
      </c>
      <c r="W65" s="1">
        <v>-4.72244444444445</v>
      </c>
      <c r="X65" s="1">
        <v>-4.7845</v>
      </c>
      <c r="Y65" s="1">
        <v>0.19828488723936</v>
      </c>
      <c r="Z65" s="1">
        <v>0.189923051143967</v>
      </c>
      <c r="AA65" s="1">
        <v>0.604666666666667</v>
      </c>
      <c r="AB65" s="1">
        <v>0.615</v>
      </c>
      <c r="AC65" s="1">
        <v>0.189579314010968</v>
      </c>
      <c r="AD65" s="1">
        <v>0.171467558346086</v>
      </c>
      <c r="AE65" s="1">
        <v>0.746491175265332</v>
      </c>
      <c r="AF65" s="1">
        <v>0.802286516204575</v>
      </c>
      <c r="AG65" s="1">
        <v>0.832353491074247</v>
      </c>
      <c r="AH65" s="1">
        <v>0.799491823099761</v>
      </c>
      <c r="AI65" s="1">
        <v>0.822704965733354</v>
      </c>
      <c r="AJ65" s="1">
        <v>0.803451976766059</v>
      </c>
      <c r="AK65" s="1">
        <v>0.800912864569656</v>
      </c>
      <c r="AL65" s="1">
        <v>0.815782950875444</v>
      </c>
      <c r="AM65" s="1">
        <v>0.296524414107042</v>
      </c>
      <c r="AN65" s="1">
        <v>0.627481251192535</v>
      </c>
      <c r="AO65" s="1">
        <v>37</v>
      </c>
    </row>
    <row r="66" s="1" customFormat="1" spans="1:41">
      <c r="A66" s="1" t="s">
        <v>279</v>
      </c>
      <c r="B66" s="1" t="s">
        <v>280</v>
      </c>
      <c r="C66" s="1">
        <v>806.838518</v>
      </c>
      <c r="D66" s="1" t="s">
        <v>281</v>
      </c>
      <c r="E66" s="1" t="s">
        <v>282</v>
      </c>
      <c r="F66" s="1" t="s">
        <v>45</v>
      </c>
      <c r="G66" s="1" t="s">
        <v>46</v>
      </c>
      <c r="H66" s="1">
        <v>8</v>
      </c>
      <c r="I66" s="1">
        <v>64</v>
      </c>
      <c r="J66" s="1">
        <v>61</v>
      </c>
      <c r="K66" s="1">
        <v>95.3125</v>
      </c>
      <c r="L66" s="1">
        <v>27</v>
      </c>
      <c r="M66" s="1">
        <v>42.1875</v>
      </c>
      <c r="N66" s="1">
        <v>27</v>
      </c>
      <c r="O66" s="1">
        <v>42.1875</v>
      </c>
      <c r="P66" s="1">
        <v>-8.09192592592592</v>
      </c>
      <c r="Q66" s="1">
        <f t="shared" si="1"/>
        <v>-218.482</v>
      </c>
      <c r="R66" s="1">
        <v>-8.006</v>
      </c>
      <c r="S66" s="1">
        <v>-10.217</v>
      </c>
      <c r="T66" s="1">
        <v>-6.186</v>
      </c>
      <c r="U66" s="1">
        <v>-6.11885185185185</v>
      </c>
      <c r="V66" s="1">
        <v>-6.053</v>
      </c>
      <c r="W66" s="1">
        <v>-6.41737037037037</v>
      </c>
      <c r="X66" s="1">
        <v>-6.42</v>
      </c>
      <c r="Y66" s="1">
        <v>0.17562414367556</v>
      </c>
      <c r="Z66" s="1">
        <v>0.164740945195797</v>
      </c>
      <c r="AA66" s="1">
        <v>0.596393442622951</v>
      </c>
      <c r="AB66" s="1">
        <v>0.59</v>
      </c>
      <c r="AC66" s="1">
        <v>0.160231000295875</v>
      </c>
      <c r="AD66" s="1">
        <v>0.154818739872224</v>
      </c>
      <c r="AE66" s="1">
        <v>0.737807565813766</v>
      </c>
      <c r="AF66" s="1">
        <v>0.805606892142411</v>
      </c>
      <c r="AG66" s="1">
        <v>0.832376528467264</v>
      </c>
      <c r="AH66" s="1">
        <v>0.78308580383548</v>
      </c>
      <c r="AI66" s="1">
        <v>0.815286296242853</v>
      </c>
      <c r="AJ66" s="1">
        <v>0.811253581124923</v>
      </c>
      <c r="AK66" s="1">
        <v>0.808203042709618</v>
      </c>
      <c r="AL66" s="1">
        <v>0.81291582212324</v>
      </c>
      <c r="AM66" s="1">
        <v>0.279524743028038</v>
      </c>
      <c r="AN66" s="1">
        <v>0.619615156536854</v>
      </c>
      <c r="AO66" s="1">
        <v>51</v>
      </c>
    </row>
    <row r="67" s="1" customFormat="1" spans="1:41">
      <c r="A67" s="1" t="s">
        <v>283</v>
      </c>
      <c r="B67" s="1" t="s">
        <v>284</v>
      </c>
      <c r="C67" s="1">
        <v>741.329913</v>
      </c>
      <c r="D67" s="1" t="s">
        <v>285</v>
      </c>
      <c r="E67" s="1" t="s">
        <v>286</v>
      </c>
      <c r="F67" s="1" t="s">
        <v>45</v>
      </c>
      <c r="G67" s="1" t="s">
        <v>46</v>
      </c>
      <c r="H67" s="1">
        <v>8</v>
      </c>
      <c r="I67" s="1">
        <v>64</v>
      </c>
      <c r="J67" s="1">
        <v>59</v>
      </c>
      <c r="K67" s="1">
        <v>92.1875</v>
      </c>
      <c r="L67" s="1">
        <v>19</v>
      </c>
      <c r="M67" s="1">
        <v>29.6875</v>
      </c>
      <c r="N67" s="1">
        <v>19</v>
      </c>
      <c r="O67" s="1">
        <v>29.6875</v>
      </c>
      <c r="P67" s="1">
        <v>-11.9337894736842</v>
      </c>
      <c r="Q67" s="1">
        <f t="shared" ref="Q67:Q98" si="2">PRODUCT(N67,P67)</f>
        <v>-226.742</v>
      </c>
      <c r="R67" s="1">
        <v>-11.569</v>
      </c>
      <c r="S67" s="1">
        <v>-17.489</v>
      </c>
      <c r="T67" s="1">
        <v>-9.551</v>
      </c>
      <c r="U67" s="1">
        <v>-6.14642105263158</v>
      </c>
      <c r="V67" s="1">
        <v>-10.97</v>
      </c>
      <c r="W67" s="1">
        <v>-10.7855789473684</v>
      </c>
      <c r="X67" s="1">
        <v>-11.059</v>
      </c>
      <c r="Y67" s="1">
        <v>0.10653416080954</v>
      </c>
      <c r="Z67" s="1">
        <v>0.0873027062107438</v>
      </c>
      <c r="AA67" s="1">
        <v>0.550508474576271</v>
      </c>
      <c r="AB67" s="1">
        <v>0.56</v>
      </c>
      <c r="AC67" s="1">
        <v>0.237750484498678</v>
      </c>
      <c r="AD67" s="1">
        <v>0.237292347347628</v>
      </c>
      <c r="AE67" s="1">
        <v>0.714009301332325</v>
      </c>
      <c r="AF67" s="1">
        <v>0.799316924854057</v>
      </c>
      <c r="AG67" s="1">
        <v>0.802976358209158</v>
      </c>
      <c r="AH67" s="1">
        <v>0.784503492766141</v>
      </c>
      <c r="AI67" s="1">
        <v>0.80760889527722</v>
      </c>
      <c r="AJ67" s="1">
        <v>0.812528702999568</v>
      </c>
      <c r="AK67" s="1">
        <v>0.809042660924498</v>
      </c>
      <c r="AL67" s="1">
        <v>0.79613456353743</v>
      </c>
      <c r="AM67" s="1">
        <v>0.273178461273372</v>
      </c>
      <c r="AN67" s="1">
        <v>0.599716206774194</v>
      </c>
      <c r="AO67" s="1">
        <v>70</v>
      </c>
    </row>
    <row r="68" s="1" customFormat="1" spans="1:41">
      <c r="A68" s="1" t="s">
        <v>287</v>
      </c>
      <c r="B68" s="1" t="s">
        <v>288</v>
      </c>
      <c r="C68" s="1">
        <v>943.603907</v>
      </c>
      <c r="D68" s="1" t="s">
        <v>289</v>
      </c>
      <c r="E68" s="1" t="s">
        <v>290</v>
      </c>
      <c r="F68" s="1" t="s">
        <v>45</v>
      </c>
      <c r="G68" s="1" t="s">
        <v>46</v>
      </c>
      <c r="H68" s="1">
        <v>8</v>
      </c>
      <c r="I68" s="1">
        <v>64</v>
      </c>
      <c r="J68" s="1">
        <v>64</v>
      </c>
      <c r="K68" s="1">
        <v>100</v>
      </c>
      <c r="L68" s="1">
        <v>13</v>
      </c>
      <c r="M68" s="1">
        <v>20.3125</v>
      </c>
      <c r="N68" s="1">
        <v>13</v>
      </c>
      <c r="O68" s="1">
        <v>20.3125</v>
      </c>
      <c r="P68" s="1">
        <v>-8.22146153846154</v>
      </c>
      <c r="Q68" s="1">
        <f t="shared" si="2"/>
        <v>-106.879</v>
      </c>
      <c r="R68" s="1">
        <v>-8.147</v>
      </c>
      <c r="S68" s="1">
        <v>-10.176</v>
      </c>
      <c r="T68" s="1">
        <v>-7.012</v>
      </c>
      <c r="U68" s="1">
        <v>-5.76692307692308</v>
      </c>
      <c r="V68" s="1">
        <v>-5.878</v>
      </c>
      <c r="W68" s="1">
        <v>-5.67115384615385</v>
      </c>
      <c r="X68" s="1">
        <v>-5.744</v>
      </c>
      <c r="Y68" s="1">
        <v>0.106956289548091</v>
      </c>
      <c r="Z68" s="1">
        <v>0.0892786666385605</v>
      </c>
      <c r="AA68" s="1">
        <v>0.59078125</v>
      </c>
      <c r="AB68" s="1">
        <v>0.56</v>
      </c>
      <c r="AC68" s="1">
        <v>0.268116624816463</v>
      </c>
      <c r="AD68" s="1">
        <v>0.277232183408654</v>
      </c>
      <c r="AE68" s="1">
        <v>0.684279632126934</v>
      </c>
      <c r="AF68" s="1">
        <v>0.782084182321539</v>
      </c>
      <c r="AG68" s="1" t="s">
        <v>51</v>
      </c>
      <c r="AH68" s="1">
        <v>0.815175705284023</v>
      </c>
      <c r="AI68" s="1">
        <v>0.832554611157698</v>
      </c>
      <c r="AJ68" s="1" t="s">
        <v>51</v>
      </c>
      <c r="AK68" s="1">
        <v>0.802468362510429</v>
      </c>
      <c r="AL68" s="1">
        <v>0.822569412047276</v>
      </c>
      <c r="AM68" s="1">
        <v>0.30963028290583</v>
      </c>
      <c r="AN68" s="1">
        <v>0.5771602686936</v>
      </c>
      <c r="AO68" s="1">
        <v>41</v>
      </c>
    </row>
    <row r="69" s="1" customFormat="1" spans="1:41">
      <c r="A69" s="1" t="s">
        <v>291</v>
      </c>
      <c r="B69" s="1" t="s">
        <v>292</v>
      </c>
      <c r="C69" s="1">
        <v>588.827779</v>
      </c>
      <c r="D69" s="1" t="s">
        <v>293</v>
      </c>
      <c r="E69" s="1" t="s">
        <v>294</v>
      </c>
      <c r="F69" s="1" t="s">
        <v>45</v>
      </c>
      <c r="G69" s="1" t="s">
        <v>46</v>
      </c>
      <c r="H69" s="1">
        <v>8</v>
      </c>
      <c r="I69" s="1">
        <v>64</v>
      </c>
      <c r="J69" s="1">
        <v>61</v>
      </c>
      <c r="K69" s="1">
        <v>95.3125</v>
      </c>
      <c r="L69" s="1">
        <v>38</v>
      </c>
      <c r="M69" s="1">
        <v>59.375</v>
      </c>
      <c r="N69" s="1">
        <v>38</v>
      </c>
      <c r="O69" s="1">
        <v>59.375</v>
      </c>
      <c r="P69" s="1">
        <v>-5.77126315789474</v>
      </c>
      <c r="Q69" s="1">
        <f t="shared" si="2"/>
        <v>-219.308</v>
      </c>
      <c r="R69" s="1">
        <v>-5.4755</v>
      </c>
      <c r="S69" s="1">
        <v>-9.695</v>
      </c>
      <c r="T69" s="1">
        <v>-4.119</v>
      </c>
      <c r="U69" s="1">
        <v>1.53226315789474</v>
      </c>
      <c r="V69" s="1">
        <v>-3.1025</v>
      </c>
      <c r="W69" s="1">
        <v>0.7735</v>
      </c>
      <c r="X69" s="1">
        <v>-3.732</v>
      </c>
      <c r="Y69" s="1">
        <v>0.370624258041584</v>
      </c>
      <c r="Z69" s="1">
        <v>0.387241894349516</v>
      </c>
      <c r="AA69" s="1">
        <v>0.696166666666667</v>
      </c>
      <c r="AB69" s="1">
        <v>0.695</v>
      </c>
      <c r="AC69" s="1">
        <v>0.245594209216481</v>
      </c>
      <c r="AD69" s="1">
        <v>0.253144774734964</v>
      </c>
      <c r="AE69" s="1">
        <v>0.766253911848101</v>
      </c>
      <c r="AF69" s="1">
        <v>0.801069915711702</v>
      </c>
      <c r="AG69" s="1" t="s">
        <v>51</v>
      </c>
      <c r="AH69" s="1">
        <v>0.820879636795808</v>
      </c>
      <c r="AI69" s="1">
        <v>0.809962710048308</v>
      </c>
      <c r="AJ69" s="1" t="s">
        <v>51</v>
      </c>
      <c r="AK69" s="1">
        <v>0.813365614672813</v>
      </c>
      <c r="AL69" s="1">
        <v>0.817147395100122</v>
      </c>
      <c r="AM69" s="1">
        <v>0.407428852970366</v>
      </c>
      <c r="AN69" s="1">
        <v>0.665448134449516</v>
      </c>
      <c r="AO69" s="1">
        <v>65</v>
      </c>
    </row>
    <row r="70" s="1" customFormat="1" spans="1:41">
      <c r="A70" s="1" t="s">
        <v>295</v>
      </c>
      <c r="B70" s="1" t="s">
        <v>296</v>
      </c>
      <c r="C70" s="1">
        <v>638.48575</v>
      </c>
      <c r="D70" s="1" t="s">
        <v>297</v>
      </c>
      <c r="E70" s="1" t="s">
        <v>298</v>
      </c>
      <c r="F70" s="1" t="s">
        <v>45</v>
      </c>
      <c r="G70" s="1" t="s">
        <v>46</v>
      </c>
      <c r="H70" s="1">
        <v>8</v>
      </c>
      <c r="I70" s="1">
        <v>64</v>
      </c>
      <c r="J70" s="1">
        <v>61</v>
      </c>
      <c r="K70" s="1">
        <v>95.3125</v>
      </c>
      <c r="L70" s="1">
        <v>25</v>
      </c>
      <c r="M70" s="1">
        <v>39.0625</v>
      </c>
      <c r="N70" s="1">
        <v>25</v>
      </c>
      <c r="O70" s="1">
        <v>39.0625</v>
      </c>
      <c r="P70" s="1">
        <v>-8.04112</v>
      </c>
      <c r="Q70" s="1">
        <f t="shared" si="2"/>
        <v>-201.028</v>
      </c>
      <c r="R70" s="1">
        <v>-8.113</v>
      </c>
      <c r="S70" s="1">
        <v>-10.616</v>
      </c>
      <c r="T70" s="1">
        <v>-5.319</v>
      </c>
      <c r="U70" s="1">
        <v>-5.83864</v>
      </c>
      <c r="V70" s="1">
        <v>-5.66</v>
      </c>
      <c r="W70" s="1">
        <v>-5.90912</v>
      </c>
      <c r="X70" s="1">
        <v>-5.769</v>
      </c>
      <c r="Y70" s="1">
        <v>0.292087223852296</v>
      </c>
      <c r="Z70" s="1">
        <v>0.290809237556601</v>
      </c>
      <c r="AA70" s="1">
        <v>0.581639344262295</v>
      </c>
      <c r="AB70" s="1">
        <v>0.6</v>
      </c>
      <c r="AC70" s="1">
        <v>0.222468495723896</v>
      </c>
      <c r="AD70" s="1">
        <v>0.207569072577433</v>
      </c>
      <c r="AE70" s="1">
        <v>0.736347220538056</v>
      </c>
      <c r="AF70" s="1">
        <v>0.795303100284941</v>
      </c>
      <c r="AG70" s="1">
        <v>0.79861863239611</v>
      </c>
      <c r="AH70" s="1">
        <v>0.801029068504631</v>
      </c>
      <c r="AI70" s="1">
        <v>0.81977735458801</v>
      </c>
      <c r="AJ70" s="1">
        <v>0.821670731543329</v>
      </c>
      <c r="AK70" s="1">
        <v>0.804538713145513</v>
      </c>
      <c r="AL70" s="1">
        <v>0.817533816020358</v>
      </c>
      <c r="AM70" s="1">
        <v>0.315958305069563</v>
      </c>
      <c r="AN70" s="1">
        <v>0.604675917096766</v>
      </c>
      <c r="AO70" s="1">
        <v>76</v>
      </c>
    </row>
    <row r="71" s="1" customFormat="1" spans="1:41">
      <c r="A71" s="1" t="s">
        <v>299</v>
      </c>
      <c r="B71" s="1" t="s">
        <v>300</v>
      </c>
      <c r="C71" s="1">
        <v>209.864807</v>
      </c>
      <c r="D71" s="1" t="s">
        <v>301</v>
      </c>
      <c r="E71" s="1" t="s">
        <v>302</v>
      </c>
      <c r="F71" s="1" t="s">
        <v>45</v>
      </c>
      <c r="G71" s="1" t="s">
        <v>46</v>
      </c>
      <c r="H71" s="1">
        <v>8</v>
      </c>
      <c r="I71" s="1">
        <v>64</v>
      </c>
      <c r="J71" s="1">
        <v>64</v>
      </c>
      <c r="K71" s="1">
        <v>100</v>
      </c>
      <c r="L71" s="1">
        <v>8</v>
      </c>
      <c r="M71" s="1">
        <v>12.5</v>
      </c>
      <c r="N71" s="1">
        <v>8</v>
      </c>
      <c r="O71" s="1">
        <v>12.5</v>
      </c>
      <c r="P71" s="1">
        <v>-8.05875</v>
      </c>
      <c r="Q71" s="1">
        <f t="shared" si="2"/>
        <v>-64.47</v>
      </c>
      <c r="R71" s="1">
        <v>-8.008</v>
      </c>
      <c r="S71" s="1">
        <v>-9.059</v>
      </c>
      <c r="T71" s="1">
        <v>-7.261</v>
      </c>
      <c r="U71" s="1">
        <v>-7.12425</v>
      </c>
      <c r="V71" s="1">
        <v>-7.291</v>
      </c>
      <c r="W71" s="1">
        <v>-7.3175</v>
      </c>
      <c r="X71" s="1">
        <v>-7.59</v>
      </c>
      <c r="Y71" s="1">
        <v>0.310435988581437</v>
      </c>
      <c r="Z71" s="1">
        <v>0.30409640854044</v>
      </c>
      <c r="AA71" s="1">
        <v>0.70625</v>
      </c>
      <c r="AB71" s="1">
        <v>0.7</v>
      </c>
      <c r="AC71" s="1">
        <v>0.274836156138594</v>
      </c>
      <c r="AD71" s="1">
        <v>0.272131427542775</v>
      </c>
      <c r="AE71" s="1">
        <v>0.745601303363367</v>
      </c>
      <c r="AF71" s="1">
        <v>0.803814914708246</v>
      </c>
      <c r="AG71" s="1" t="s">
        <v>51</v>
      </c>
      <c r="AH71" s="1">
        <v>0.831001317562759</v>
      </c>
      <c r="AI71" s="1" t="s">
        <v>51</v>
      </c>
      <c r="AJ71" s="1" t="s">
        <v>51</v>
      </c>
      <c r="AK71" s="1">
        <v>0.792711133662565</v>
      </c>
      <c r="AL71" s="1">
        <v>0.827243388919779</v>
      </c>
      <c r="AM71" s="1">
        <v>0.331810797261043</v>
      </c>
      <c r="AN71" s="1">
        <v>0.623433698670943</v>
      </c>
      <c r="AO71" s="1">
        <v>73</v>
      </c>
    </row>
    <row r="72" s="1" customFormat="1" spans="1:41">
      <c r="A72" s="1" t="s">
        <v>303</v>
      </c>
      <c r="B72" s="1" t="s">
        <v>304</v>
      </c>
      <c r="C72" s="1">
        <v>269.753771</v>
      </c>
      <c r="D72" s="1" t="s">
        <v>305</v>
      </c>
      <c r="E72" s="1" t="s">
        <v>306</v>
      </c>
      <c r="F72" s="1" t="s">
        <v>45</v>
      </c>
      <c r="G72" s="1" t="s">
        <v>46</v>
      </c>
      <c r="H72" s="1">
        <v>8</v>
      </c>
      <c r="I72" s="1">
        <v>64</v>
      </c>
      <c r="J72" s="1">
        <v>61</v>
      </c>
      <c r="K72" s="1">
        <v>95.3125</v>
      </c>
      <c r="L72" s="1">
        <v>44</v>
      </c>
      <c r="M72" s="1">
        <v>68.75</v>
      </c>
      <c r="N72" s="1">
        <v>44</v>
      </c>
      <c r="O72" s="1">
        <v>68.75</v>
      </c>
      <c r="P72" s="1">
        <v>-5.28752272727273</v>
      </c>
      <c r="Q72" s="1">
        <f t="shared" si="2"/>
        <v>-232.651</v>
      </c>
      <c r="R72" s="1">
        <v>-5.1605</v>
      </c>
      <c r="S72" s="1">
        <v>-7.452</v>
      </c>
      <c r="T72" s="1">
        <v>-4.179</v>
      </c>
      <c r="U72" s="1">
        <v>-2.95875</v>
      </c>
      <c r="V72" s="1">
        <v>-2.98</v>
      </c>
      <c r="W72" s="1">
        <v>-3.28645454545454</v>
      </c>
      <c r="X72" s="1">
        <v>-3.234</v>
      </c>
      <c r="Y72" s="1">
        <v>0.443873164316784</v>
      </c>
      <c r="Z72" s="1">
        <v>0.462756468731843</v>
      </c>
      <c r="AA72" s="1">
        <v>0.702333333333333</v>
      </c>
      <c r="AB72" s="1">
        <v>0.715</v>
      </c>
      <c r="AC72" s="1">
        <v>0.250594752776216</v>
      </c>
      <c r="AD72" s="1">
        <v>0.260651809342279</v>
      </c>
      <c r="AE72" s="1">
        <v>0.787086149810222</v>
      </c>
      <c r="AF72" s="1">
        <v>0.812275012459752</v>
      </c>
      <c r="AG72" s="1">
        <v>0.765943133047786</v>
      </c>
      <c r="AH72" s="1">
        <v>0.820549935051296</v>
      </c>
      <c r="AI72" s="1">
        <v>0.823293831986588</v>
      </c>
      <c r="AJ72" s="1" t="s">
        <v>51</v>
      </c>
      <c r="AK72" s="1">
        <v>0.802890342600367</v>
      </c>
      <c r="AL72" s="1">
        <v>0.800547902855513</v>
      </c>
      <c r="AM72" s="1">
        <v>0.496348521521357</v>
      </c>
      <c r="AN72" s="1">
        <v>0.684247706005773</v>
      </c>
      <c r="AO72" s="1">
        <v>69</v>
      </c>
    </row>
    <row r="73" s="1" customFormat="1" spans="1:41">
      <c r="A73" s="1" t="s">
        <v>307</v>
      </c>
      <c r="B73" s="1" t="s">
        <v>308</v>
      </c>
      <c r="C73" s="1">
        <v>370.593331</v>
      </c>
      <c r="D73" s="1" t="s">
        <v>309</v>
      </c>
      <c r="E73" s="1" t="s">
        <v>310</v>
      </c>
      <c r="F73" s="1" t="s">
        <v>45</v>
      </c>
      <c r="G73" s="1" t="s">
        <v>46</v>
      </c>
      <c r="H73" s="1">
        <v>8</v>
      </c>
      <c r="I73" s="1">
        <v>64</v>
      </c>
      <c r="J73" s="1">
        <v>61</v>
      </c>
      <c r="K73" s="1">
        <v>95.3125</v>
      </c>
      <c r="L73" s="1">
        <v>24</v>
      </c>
      <c r="M73" s="1">
        <v>37.5</v>
      </c>
      <c r="N73" s="1">
        <v>24</v>
      </c>
      <c r="O73" s="1">
        <v>37.5</v>
      </c>
      <c r="P73" s="1">
        <v>-7.30970833333333</v>
      </c>
      <c r="Q73" s="1">
        <f t="shared" si="2"/>
        <v>-175.433</v>
      </c>
      <c r="R73" s="1">
        <v>-7.208</v>
      </c>
      <c r="S73" s="1">
        <v>-10.368</v>
      </c>
      <c r="T73" s="1">
        <v>-5.23</v>
      </c>
      <c r="U73" s="1">
        <v>-5.07945833333333</v>
      </c>
      <c r="V73" s="1">
        <v>-4.876</v>
      </c>
      <c r="W73" s="1">
        <v>-5.54625</v>
      </c>
      <c r="X73" s="1">
        <v>-5.364</v>
      </c>
      <c r="Y73" s="1">
        <v>0.303413983853829</v>
      </c>
      <c r="Z73" s="1">
        <v>0.231365439624826</v>
      </c>
      <c r="AA73" s="1">
        <v>0.632166666666667</v>
      </c>
      <c r="AB73" s="1">
        <v>0.615</v>
      </c>
      <c r="AC73" s="1">
        <v>0.164246519160518</v>
      </c>
      <c r="AD73" s="1">
        <v>0.157161549515756</v>
      </c>
      <c r="AE73" s="1">
        <v>0.75693569677731</v>
      </c>
      <c r="AF73" s="1">
        <v>0.80415233576059</v>
      </c>
      <c r="AG73" s="1">
        <v>0.806791015716932</v>
      </c>
      <c r="AH73" s="1">
        <v>0.798153311213915</v>
      </c>
      <c r="AI73" s="1">
        <v>0.81932682665598</v>
      </c>
      <c r="AJ73" s="1" t="s">
        <v>51</v>
      </c>
      <c r="AK73" s="1">
        <v>0.810823837330335</v>
      </c>
      <c r="AL73" s="1">
        <v>0.804576451029503</v>
      </c>
      <c r="AM73" s="1">
        <v>0.370358853359636</v>
      </c>
      <c r="AN73" s="1">
        <v>0.64277509414402</v>
      </c>
      <c r="AO73" s="1">
        <v>84</v>
      </c>
    </row>
    <row r="74" s="1" customFormat="1" spans="1:41">
      <c r="A74" s="1" t="s">
        <v>311</v>
      </c>
      <c r="B74" s="1" t="s">
        <v>312</v>
      </c>
      <c r="C74" s="1">
        <v>312.810311</v>
      </c>
      <c r="D74" s="1" t="s">
        <v>313</v>
      </c>
      <c r="E74" s="1" t="s">
        <v>314</v>
      </c>
      <c r="F74" s="1" t="s">
        <v>45</v>
      </c>
      <c r="G74" s="1" t="s">
        <v>46</v>
      </c>
      <c r="H74" s="1">
        <v>8</v>
      </c>
      <c r="I74" s="1">
        <v>64</v>
      </c>
      <c r="J74" s="1">
        <v>61</v>
      </c>
      <c r="K74" s="1">
        <v>95.3125</v>
      </c>
      <c r="L74" s="1">
        <v>46</v>
      </c>
      <c r="M74" s="1">
        <v>71.875</v>
      </c>
      <c r="N74" s="1">
        <v>46</v>
      </c>
      <c r="O74" s="1">
        <v>71.875</v>
      </c>
      <c r="P74" s="1">
        <v>-4.44686956521739</v>
      </c>
      <c r="Q74" s="1">
        <f t="shared" si="2"/>
        <v>-204.556</v>
      </c>
      <c r="R74" s="1">
        <v>-4.377</v>
      </c>
      <c r="S74" s="1">
        <v>-5.631</v>
      </c>
      <c r="T74" s="1">
        <v>-3.757</v>
      </c>
      <c r="U74" s="1">
        <v>-1.80226086956522</v>
      </c>
      <c r="V74" s="1">
        <v>-1.8135</v>
      </c>
      <c r="W74" s="1">
        <v>-2.01936956521739</v>
      </c>
      <c r="X74" s="1">
        <v>-1.994</v>
      </c>
      <c r="Y74" s="1">
        <v>0.445509403506121</v>
      </c>
      <c r="Z74" s="1">
        <v>0.455936538815454</v>
      </c>
      <c r="AA74" s="1">
        <v>0.758852459016393</v>
      </c>
      <c r="AB74" s="1">
        <v>0.8</v>
      </c>
      <c r="AC74" s="1">
        <v>0.210310601695445</v>
      </c>
      <c r="AD74" s="1">
        <v>0.191942626024128</v>
      </c>
      <c r="AE74" s="1">
        <v>0.773494045769284</v>
      </c>
      <c r="AF74" s="1">
        <v>0.808223599841595</v>
      </c>
      <c r="AG74" s="1">
        <v>0.820980259660995</v>
      </c>
      <c r="AH74" s="1">
        <v>0.820569783534487</v>
      </c>
      <c r="AI74" s="1">
        <v>0.822791674071224</v>
      </c>
      <c r="AJ74" s="1" t="s">
        <v>51</v>
      </c>
      <c r="AK74" s="1">
        <v>0.814722319957282</v>
      </c>
      <c r="AL74" s="1">
        <v>0.822687875883085</v>
      </c>
      <c r="AM74" s="1">
        <v>0.494570320616668</v>
      </c>
      <c r="AN74" s="1">
        <v>0.680506366790694</v>
      </c>
      <c r="AO74" s="1">
        <v>90</v>
      </c>
    </row>
    <row r="75" s="1" customFormat="1" spans="1:41">
      <c r="A75" s="1" t="s">
        <v>315</v>
      </c>
      <c r="B75" s="1" t="s">
        <v>316</v>
      </c>
      <c r="C75" s="1">
        <v>726.543419</v>
      </c>
      <c r="D75" s="1" t="s">
        <v>317</v>
      </c>
      <c r="E75" s="1" t="s">
        <v>318</v>
      </c>
      <c r="F75" s="1" t="s">
        <v>45</v>
      </c>
      <c r="G75" s="1" t="s">
        <v>46</v>
      </c>
      <c r="H75" s="1">
        <v>8</v>
      </c>
      <c r="I75" s="1">
        <v>64</v>
      </c>
      <c r="J75" s="1">
        <v>62</v>
      </c>
      <c r="K75" s="1">
        <v>96.875</v>
      </c>
      <c r="L75" s="1">
        <v>37</v>
      </c>
      <c r="M75" s="1">
        <v>57.8125</v>
      </c>
      <c r="N75" s="1">
        <v>37</v>
      </c>
      <c r="O75" s="1">
        <v>57.8125</v>
      </c>
      <c r="P75" s="1">
        <v>-5.70972972972973</v>
      </c>
      <c r="Q75" s="1">
        <f t="shared" si="2"/>
        <v>-211.26</v>
      </c>
      <c r="R75" s="1">
        <v>-5.74</v>
      </c>
      <c r="S75" s="1">
        <v>-7.852</v>
      </c>
      <c r="T75" s="1">
        <v>-3.529</v>
      </c>
      <c r="U75" s="1">
        <v>0.734891891891892</v>
      </c>
      <c r="V75" s="1">
        <v>-1.853</v>
      </c>
      <c r="W75" s="1">
        <v>-2.24059459459459</v>
      </c>
      <c r="X75" s="1">
        <v>-2.636</v>
      </c>
      <c r="Y75" s="1">
        <v>0.286594370609809</v>
      </c>
      <c r="Z75" s="1">
        <v>0.253370590647514</v>
      </c>
      <c r="AA75" s="1">
        <v>0.624677419354839</v>
      </c>
      <c r="AB75" s="1">
        <v>0.62</v>
      </c>
      <c r="AC75" s="1">
        <v>0.205540508441131</v>
      </c>
      <c r="AD75" s="1">
        <v>0.179343872678199</v>
      </c>
      <c r="AE75" s="1">
        <v>0.758659380488414</v>
      </c>
      <c r="AF75" s="1">
        <v>0.808169765841855</v>
      </c>
      <c r="AG75" s="1">
        <v>0.756230119826358</v>
      </c>
      <c r="AH75" s="1">
        <v>0.808211803600272</v>
      </c>
      <c r="AI75" s="1">
        <v>0.818156057719486</v>
      </c>
      <c r="AJ75" s="1" t="s">
        <v>51</v>
      </c>
      <c r="AK75" s="1">
        <v>0.802151747443009</v>
      </c>
      <c r="AL75" s="1">
        <v>0.810149891127581</v>
      </c>
      <c r="AM75" s="1">
        <v>0.348370270058577</v>
      </c>
      <c r="AN75" s="1">
        <v>0.662321842238502</v>
      </c>
      <c r="AO75" s="1">
        <v>63</v>
      </c>
    </row>
    <row r="76" s="1" customFormat="1" spans="1:41">
      <c r="A76" s="1" t="s">
        <v>319</v>
      </c>
      <c r="B76" s="1" t="s">
        <v>320</v>
      </c>
      <c r="C76" s="1">
        <v>277.574742</v>
      </c>
      <c r="D76" s="1" t="s">
        <v>321</v>
      </c>
      <c r="E76" s="1" t="s">
        <v>322</v>
      </c>
      <c r="F76" s="1" t="s">
        <v>45</v>
      </c>
      <c r="G76" s="1" t="s">
        <v>46</v>
      </c>
      <c r="H76" s="1">
        <v>8</v>
      </c>
      <c r="I76" s="1">
        <v>64</v>
      </c>
      <c r="J76" s="1">
        <v>60</v>
      </c>
      <c r="K76" s="1">
        <v>93.75</v>
      </c>
      <c r="L76" s="1">
        <v>41</v>
      </c>
      <c r="M76" s="1">
        <v>64.0625</v>
      </c>
      <c r="N76" s="1">
        <v>41</v>
      </c>
      <c r="O76" s="1">
        <v>64.0625</v>
      </c>
      <c r="P76" s="1">
        <v>-4.21368292682927</v>
      </c>
      <c r="Q76" s="1">
        <f t="shared" si="2"/>
        <v>-172.761</v>
      </c>
      <c r="R76" s="1">
        <v>-4.058</v>
      </c>
      <c r="S76" s="1">
        <v>-6.527</v>
      </c>
      <c r="T76" s="1">
        <v>-3.274</v>
      </c>
      <c r="U76" s="1">
        <v>-1.80426829268293</v>
      </c>
      <c r="V76" s="1">
        <v>-1.681</v>
      </c>
      <c r="W76" s="1">
        <v>-2.37648780487805</v>
      </c>
      <c r="X76" s="1">
        <v>-2.225</v>
      </c>
      <c r="Y76" s="1">
        <v>0.445911570376259</v>
      </c>
      <c r="Z76" s="1">
        <v>0.463330393461862</v>
      </c>
      <c r="AA76" s="1">
        <v>0.748</v>
      </c>
      <c r="AB76" s="1">
        <v>0.77</v>
      </c>
      <c r="AC76" s="1">
        <v>0.208344550611764</v>
      </c>
      <c r="AD76" s="1">
        <v>0.212472005806759</v>
      </c>
      <c r="AE76" s="1">
        <v>0.779950799114956</v>
      </c>
      <c r="AF76" s="1">
        <v>0.816803494110713</v>
      </c>
      <c r="AG76" s="1" t="s">
        <v>51</v>
      </c>
      <c r="AH76" s="1">
        <v>0.806699939039243</v>
      </c>
      <c r="AI76" s="1">
        <v>0.810696319236579</v>
      </c>
      <c r="AJ76" s="1" t="s">
        <v>51</v>
      </c>
      <c r="AK76" s="1">
        <v>0.808017810222604</v>
      </c>
      <c r="AL76" s="1">
        <v>0.815593700443588</v>
      </c>
      <c r="AM76" s="1">
        <v>0.490580585262214</v>
      </c>
      <c r="AN76" s="1">
        <v>0.684163807302396</v>
      </c>
      <c r="AO76" s="1">
        <v>71</v>
      </c>
    </row>
    <row r="77" s="1" customFormat="1" spans="1:41">
      <c r="A77" s="1" t="s">
        <v>323</v>
      </c>
      <c r="B77" s="1" t="s">
        <v>324</v>
      </c>
      <c r="C77" s="1">
        <v>1343.434785</v>
      </c>
      <c r="D77" s="1" t="s">
        <v>325</v>
      </c>
      <c r="E77" s="1" t="s">
        <v>326</v>
      </c>
      <c r="F77" s="1" t="s">
        <v>45</v>
      </c>
      <c r="G77" s="1" t="s">
        <v>46</v>
      </c>
      <c r="H77" s="1">
        <v>8</v>
      </c>
      <c r="I77" s="1">
        <v>64</v>
      </c>
      <c r="J77" s="1">
        <v>59</v>
      </c>
      <c r="K77" s="1">
        <v>92.1875</v>
      </c>
      <c r="L77" s="1">
        <v>30</v>
      </c>
      <c r="M77" s="1">
        <v>46.875</v>
      </c>
      <c r="N77" s="1">
        <v>30</v>
      </c>
      <c r="O77" s="1">
        <v>46.875</v>
      </c>
      <c r="P77" s="1">
        <v>-9.67576666666667</v>
      </c>
      <c r="Q77" s="1">
        <f t="shared" si="2"/>
        <v>-290.273</v>
      </c>
      <c r="R77" s="1">
        <v>-9.616</v>
      </c>
      <c r="S77" s="1">
        <v>-12.27</v>
      </c>
      <c r="T77" s="1">
        <v>-6.894</v>
      </c>
      <c r="U77" s="1">
        <v>-5.03063333333334</v>
      </c>
      <c r="V77" s="1">
        <v>-7.418</v>
      </c>
      <c r="W77" s="1">
        <v>-7.7051</v>
      </c>
      <c r="X77" s="1">
        <v>-7.9615</v>
      </c>
      <c r="Y77" s="1">
        <v>0.0932404714785728</v>
      </c>
      <c r="Z77" s="1">
        <v>0.0623298949426669</v>
      </c>
      <c r="AA77" s="1">
        <v>0.521186440677966</v>
      </c>
      <c r="AB77" s="1">
        <v>0.52</v>
      </c>
      <c r="AC77" s="1">
        <v>0.147793647145793</v>
      </c>
      <c r="AD77" s="1">
        <v>0.142380002486209</v>
      </c>
      <c r="AE77" s="1">
        <v>0.741360869037855</v>
      </c>
      <c r="AF77" s="1">
        <v>0.809415973544486</v>
      </c>
      <c r="AG77" s="1">
        <v>0.766877270090775</v>
      </c>
      <c r="AH77" s="1">
        <v>0.781645560124934</v>
      </c>
      <c r="AI77" s="1">
        <v>0.81937223468739</v>
      </c>
      <c r="AJ77" s="1">
        <v>0.807571611678523</v>
      </c>
      <c r="AK77" s="1">
        <v>0.793447477738908</v>
      </c>
      <c r="AL77" s="1">
        <v>0.800054983695827</v>
      </c>
      <c r="AM77" s="1">
        <v>0.251542178552174</v>
      </c>
      <c r="AN77" s="1">
        <v>0.635252314024006</v>
      </c>
      <c r="AO77" s="1">
        <v>60</v>
      </c>
    </row>
    <row r="78" s="1" customFormat="1" spans="1:41">
      <c r="A78" s="1" t="s">
        <v>327</v>
      </c>
      <c r="B78" s="1" t="s">
        <v>328</v>
      </c>
      <c r="C78" s="1">
        <v>319.877448</v>
      </c>
      <c r="D78" s="1" t="s">
        <v>329</v>
      </c>
      <c r="E78" s="1" t="s">
        <v>330</v>
      </c>
      <c r="F78" s="1" t="s">
        <v>45</v>
      </c>
      <c r="G78" s="1" t="s">
        <v>46</v>
      </c>
      <c r="H78" s="1">
        <v>8</v>
      </c>
      <c r="I78" s="1">
        <v>64</v>
      </c>
      <c r="J78" s="1">
        <v>63</v>
      </c>
      <c r="K78" s="1">
        <v>98.4375</v>
      </c>
      <c r="L78" s="1">
        <v>50</v>
      </c>
      <c r="M78" s="1">
        <v>78.125</v>
      </c>
      <c r="N78" s="1">
        <v>50</v>
      </c>
      <c r="O78" s="1">
        <v>78.125</v>
      </c>
      <c r="P78" s="1">
        <v>-4.82936</v>
      </c>
      <c r="Q78" s="1">
        <f t="shared" si="2"/>
        <v>-241.468</v>
      </c>
      <c r="R78" s="1">
        <v>-4.7425</v>
      </c>
      <c r="S78" s="1">
        <v>-6.313</v>
      </c>
      <c r="T78" s="1">
        <v>-4.145</v>
      </c>
      <c r="U78" s="1">
        <v>-2.96262</v>
      </c>
      <c r="V78" s="1">
        <v>-2.959</v>
      </c>
      <c r="W78" s="1">
        <v>-3.3312</v>
      </c>
      <c r="X78" s="1">
        <v>-3.2335</v>
      </c>
      <c r="Y78" s="1">
        <v>0.435169346190525</v>
      </c>
      <c r="Z78" s="1">
        <v>0.45570606568473</v>
      </c>
      <c r="AA78" s="1">
        <v>0.703174603174603</v>
      </c>
      <c r="AB78" s="1">
        <v>0.73</v>
      </c>
      <c r="AC78" s="1">
        <v>0.270167988716143</v>
      </c>
      <c r="AD78" s="1">
        <v>0.282979476057249</v>
      </c>
      <c r="AE78" s="1">
        <v>0.793003337868071</v>
      </c>
      <c r="AF78" s="1">
        <v>0.818276526510105</v>
      </c>
      <c r="AG78" s="1" t="s">
        <v>51</v>
      </c>
      <c r="AH78" s="1">
        <v>0.808677559797942</v>
      </c>
      <c r="AI78" s="1">
        <v>0.778116780310233</v>
      </c>
      <c r="AJ78" s="1" t="s">
        <v>51</v>
      </c>
      <c r="AK78" s="1">
        <v>0.814826118880766</v>
      </c>
      <c r="AL78" s="1">
        <v>0.816134847372444</v>
      </c>
      <c r="AM78" s="1">
        <v>0.502010697125451</v>
      </c>
      <c r="AN78" s="1">
        <v>0.714477608775527</v>
      </c>
      <c r="AO78" s="1">
        <v>94</v>
      </c>
    </row>
    <row r="79" s="1" customFormat="1" spans="1:41">
      <c r="A79" s="1" t="s">
        <v>331</v>
      </c>
      <c r="B79" s="1" t="s">
        <v>332</v>
      </c>
      <c r="C79" s="1">
        <v>248.229781</v>
      </c>
      <c r="D79" s="1" t="s">
        <v>333</v>
      </c>
      <c r="E79" s="1" t="s">
        <v>334</v>
      </c>
      <c r="F79" s="1" t="s">
        <v>45</v>
      </c>
      <c r="G79" s="1" t="s">
        <v>46</v>
      </c>
      <c r="H79" s="1">
        <v>8</v>
      </c>
      <c r="I79" s="1">
        <v>64</v>
      </c>
      <c r="J79" s="1">
        <v>60</v>
      </c>
      <c r="K79" s="1">
        <v>93.75</v>
      </c>
      <c r="L79" s="1">
        <v>45</v>
      </c>
      <c r="M79" s="1">
        <v>70.3125</v>
      </c>
      <c r="N79" s="1">
        <v>45</v>
      </c>
      <c r="O79" s="1">
        <v>70.3125</v>
      </c>
      <c r="P79" s="1">
        <v>-5.50164444444444</v>
      </c>
      <c r="Q79" s="1">
        <f t="shared" si="2"/>
        <v>-247.574</v>
      </c>
      <c r="R79" s="1">
        <v>-5.416</v>
      </c>
      <c r="S79" s="1">
        <v>-8.488</v>
      </c>
      <c r="T79" s="1">
        <v>-4.38</v>
      </c>
      <c r="U79" s="1">
        <v>-3.39751111111111</v>
      </c>
      <c r="V79" s="1">
        <v>-3.475</v>
      </c>
      <c r="W79" s="1">
        <v>-4.05595555555555</v>
      </c>
      <c r="X79" s="1">
        <v>-4.047</v>
      </c>
      <c r="Y79" s="1">
        <v>0.494690180975479</v>
      </c>
      <c r="Z79" s="1">
        <v>0.552817796305039</v>
      </c>
      <c r="AA79" s="1">
        <v>0.714333333333333</v>
      </c>
      <c r="AB79" s="1">
        <v>0.71</v>
      </c>
      <c r="AC79" s="1">
        <v>0.225830895679655</v>
      </c>
      <c r="AD79" s="1">
        <v>0.24190614713048</v>
      </c>
      <c r="AE79" s="1">
        <v>0.788533298144845</v>
      </c>
      <c r="AF79" s="1">
        <v>0.811801785616655</v>
      </c>
      <c r="AG79" s="1">
        <v>0.807284029204443</v>
      </c>
      <c r="AH79" s="1">
        <v>0.806187875821446</v>
      </c>
      <c r="AI79" s="1">
        <v>0.813617996791659</v>
      </c>
      <c r="AJ79" s="1">
        <v>0.803484390062228</v>
      </c>
      <c r="AK79" s="1">
        <v>0.81601089886492</v>
      </c>
      <c r="AL79" s="1">
        <v>0.81936980299132</v>
      </c>
      <c r="AM79" s="1">
        <v>0.518187500100999</v>
      </c>
      <c r="AN79" s="1">
        <v>0.699562323883793</v>
      </c>
      <c r="AO79" s="1">
        <v>77</v>
      </c>
    </row>
    <row r="80" s="1" customFormat="1" spans="1:41">
      <c r="A80" s="1" t="s">
        <v>335</v>
      </c>
      <c r="B80" s="1" t="s">
        <v>336</v>
      </c>
      <c r="C80" s="1">
        <v>310.679526</v>
      </c>
      <c r="D80" s="1" t="s">
        <v>337</v>
      </c>
      <c r="E80" s="1" t="s">
        <v>338</v>
      </c>
      <c r="F80" s="1" t="s">
        <v>45</v>
      </c>
      <c r="G80" s="1" t="s">
        <v>46</v>
      </c>
      <c r="H80" s="1">
        <v>8</v>
      </c>
      <c r="I80" s="1">
        <v>64</v>
      </c>
      <c r="J80" s="1">
        <v>62</v>
      </c>
      <c r="K80" s="1">
        <v>96.875</v>
      </c>
      <c r="L80" s="1">
        <v>45</v>
      </c>
      <c r="M80" s="1">
        <v>70.3125</v>
      </c>
      <c r="N80" s="1">
        <v>45</v>
      </c>
      <c r="O80" s="1">
        <v>70.3125</v>
      </c>
      <c r="P80" s="1">
        <v>-4.63455555555556</v>
      </c>
      <c r="Q80" s="1">
        <f t="shared" si="2"/>
        <v>-208.555</v>
      </c>
      <c r="R80" s="1">
        <v>-4.511</v>
      </c>
      <c r="S80" s="1">
        <v>-7.085</v>
      </c>
      <c r="T80" s="1">
        <v>-3.83</v>
      </c>
      <c r="U80" s="1">
        <v>-2.69953333333333</v>
      </c>
      <c r="V80" s="1">
        <v>-2.769</v>
      </c>
      <c r="W80" s="1">
        <v>-3.16171111111111</v>
      </c>
      <c r="X80" s="1">
        <v>-3.178</v>
      </c>
      <c r="Y80" s="1">
        <v>0.435438882198733</v>
      </c>
      <c r="Z80" s="1">
        <v>0.451770121017385</v>
      </c>
      <c r="AA80" s="1">
        <v>0.772903225806452</v>
      </c>
      <c r="AB80" s="1">
        <v>0.795</v>
      </c>
      <c r="AC80" s="1">
        <v>0.240672650260283</v>
      </c>
      <c r="AD80" s="1">
        <v>0.253789038494238</v>
      </c>
      <c r="AE80" s="1">
        <v>0.778680138765118</v>
      </c>
      <c r="AF80" s="1">
        <v>0.814178322235206</v>
      </c>
      <c r="AG80" s="1" t="s">
        <v>51</v>
      </c>
      <c r="AH80" s="1">
        <v>0.810644858630806</v>
      </c>
      <c r="AI80" s="1">
        <v>0.818240757859538</v>
      </c>
      <c r="AJ80" s="1" t="s">
        <v>51</v>
      </c>
      <c r="AK80" s="1">
        <v>0.812731728411084</v>
      </c>
      <c r="AL80" s="1">
        <v>0.813040628645537</v>
      </c>
      <c r="AM80" s="1">
        <v>0.504411303531091</v>
      </c>
      <c r="AN80" s="1">
        <v>0.705200899112723</v>
      </c>
      <c r="AO80" s="1">
        <v>96</v>
      </c>
    </row>
    <row r="81" s="1" customFormat="1" spans="1:41">
      <c r="A81" s="1" t="s">
        <v>339</v>
      </c>
      <c r="B81" s="1" t="s">
        <v>340</v>
      </c>
      <c r="C81" s="1">
        <v>632.566766</v>
      </c>
      <c r="D81" s="1" t="s">
        <v>341</v>
      </c>
      <c r="E81" s="1" t="s">
        <v>342</v>
      </c>
      <c r="F81" s="1" t="s">
        <v>45</v>
      </c>
      <c r="G81" s="1" t="s">
        <v>46</v>
      </c>
      <c r="H81" s="1">
        <v>8</v>
      </c>
      <c r="I81" s="1">
        <v>64</v>
      </c>
      <c r="J81" s="1">
        <v>63</v>
      </c>
      <c r="K81" s="1">
        <v>98.4375</v>
      </c>
      <c r="L81" s="1">
        <v>13</v>
      </c>
      <c r="M81" s="1">
        <v>20.3125</v>
      </c>
      <c r="N81" s="1">
        <v>13</v>
      </c>
      <c r="O81" s="1">
        <v>20.3125</v>
      </c>
      <c r="P81" s="1">
        <v>-9.39423076923077</v>
      </c>
      <c r="Q81" s="1">
        <f t="shared" si="2"/>
        <v>-122.125</v>
      </c>
      <c r="R81" s="1">
        <v>-9.657</v>
      </c>
      <c r="S81" s="1">
        <v>-11.071</v>
      </c>
      <c r="T81" s="1">
        <v>-8.189</v>
      </c>
      <c r="U81" s="1">
        <v>6.57023076923077</v>
      </c>
      <c r="V81" s="1">
        <v>4.099</v>
      </c>
      <c r="W81" s="1">
        <v>1.28084615384615</v>
      </c>
      <c r="X81" s="1">
        <v>-4.641</v>
      </c>
      <c r="Y81" s="1">
        <v>0.100921138482915</v>
      </c>
      <c r="Z81" s="1">
        <v>0.0481072473681293</v>
      </c>
      <c r="AA81" s="1">
        <v>0.55047619047619</v>
      </c>
      <c r="AB81" s="1">
        <v>0.54</v>
      </c>
      <c r="AC81" s="1">
        <v>0.218748495608688</v>
      </c>
      <c r="AD81" s="1">
        <v>0.219828002236251</v>
      </c>
      <c r="AE81" s="1">
        <v>0.741653348538524</v>
      </c>
      <c r="AF81" s="1">
        <v>0.780090179005878</v>
      </c>
      <c r="AG81" s="1" t="s">
        <v>51</v>
      </c>
      <c r="AH81" s="1">
        <v>0.796974981283929</v>
      </c>
      <c r="AI81" s="1">
        <v>0.807196090476585</v>
      </c>
      <c r="AJ81" s="1" t="s">
        <v>51</v>
      </c>
      <c r="AK81" s="1">
        <v>0.802745115226067</v>
      </c>
      <c r="AL81" s="1">
        <v>0.799197432880967</v>
      </c>
      <c r="AM81" s="1">
        <v>0.286606493569016</v>
      </c>
      <c r="AN81" s="1">
        <v>0.606394137630368</v>
      </c>
      <c r="AO81" s="1">
        <v>53</v>
      </c>
    </row>
    <row r="82" s="1" customFormat="1" spans="1:41">
      <c r="A82" s="1" t="s">
        <v>250</v>
      </c>
      <c r="B82" s="1" t="s">
        <v>343</v>
      </c>
      <c r="C82" s="1">
        <v>580.194359</v>
      </c>
      <c r="D82" s="1" t="s">
        <v>344</v>
      </c>
      <c r="E82" s="1" t="s">
        <v>345</v>
      </c>
      <c r="F82" s="1" t="s">
        <v>45</v>
      </c>
      <c r="G82" s="1" t="s">
        <v>46</v>
      </c>
      <c r="H82" s="1">
        <v>8</v>
      </c>
      <c r="I82" s="1">
        <v>64</v>
      </c>
      <c r="J82" s="1">
        <v>61</v>
      </c>
      <c r="K82" s="1">
        <v>95.3125</v>
      </c>
      <c r="L82" s="1">
        <v>25</v>
      </c>
      <c r="M82" s="1">
        <v>39.0625</v>
      </c>
      <c r="N82" s="1">
        <v>25</v>
      </c>
      <c r="O82" s="1">
        <v>39.0625</v>
      </c>
      <c r="P82" s="1">
        <v>-9.8036</v>
      </c>
      <c r="Q82" s="1">
        <f t="shared" si="2"/>
        <v>-245.09</v>
      </c>
      <c r="R82" s="1">
        <v>-9.449</v>
      </c>
      <c r="S82" s="1">
        <v>-14.084</v>
      </c>
      <c r="T82" s="1">
        <v>-7.337</v>
      </c>
      <c r="U82" s="1">
        <v>-6.9688</v>
      </c>
      <c r="V82" s="1">
        <v>-6.706</v>
      </c>
      <c r="W82" s="1">
        <v>-7.13176</v>
      </c>
      <c r="X82" s="1">
        <v>-6.999</v>
      </c>
      <c r="Y82" s="1">
        <v>0.214931546077252</v>
      </c>
      <c r="Z82" s="1">
        <v>0.176690900614738</v>
      </c>
      <c r="AA82" s="1">
        <v>0.589180327868852</v>
      </c>
      <c r="AB82" s="1">
        <v>0.58</v>
      </c>
      <c r="AC82" s="1">
        <v>0.207017346196123</v>
      </c>
      <c r="AD82" s="1">
        <v>0.204472167934245</v>
      </c>
      <c r="AE82" s="1">
        <v>0.736092528517191</v>
      </c>
      <c r="AF82" s="1">
        <v>0.80021612804475</v>
      </c>
      <c r="AG82" s="1">
        <v>0.762671557745304</v>
      </c>
      <c r="AH82" s="1">
        <v>0.802448597991303</v>
      </c>
      <c r="AI82" s="1">
        <v>0.819538070480256</v>
      </c>
      <c r="AJ82" s="1">
        <v>0.832121822389749</v>
      </c>
      <c r="AK82" s="1">
        <v>0.801685544515845</v>
      </c>
      <c r="AL82" s="1">
        <v>0.804708053938494</v>
      </c>
      <c r="AM82" s="1">
        <v>0.291738591855268</v>
      </c>
      <c r="AN82" s="1">
        <v>0.630661450951546</v>
      </c>
      <c r="AO82" s="1">
        <v>79</v>
      </c>
    </row>
    <row r="83" s="1" customFormat="1" spans="1:41">
      <c r="A83" s="1" t="s">
        <v>346</v>
      </c>
      <c r="B83" s="1" t="s">
        <v>347</v>
      </c>
      <c r="C83" s="1">
        <v>526.171645</v>
      </c>
      <c r="D83" s="1" t="s">
        <v>348</v>
      </c>
      <c r="E83" s="1" t="s">
        <v>349</v>
      </c>
      <c r="F83" s="1" t="s">
        <v>45</v>
      </c>
      <c r="G83" s="1" t="s">
        <v>46</v>
      </c>
      <c r="H83" s="1">
        <v>8</v>
      </c>
      <c r="I83" s="1">
        <v>64</v>
      </c>
      <c r="J83" s="1">
        <v>63</v>
      </c>
      <c r="K83" s="1">
        <v>98.4375</v>
      </c>
      <c r="L83" s="1">
        <v>34</v>
      </c>
      <c r="M83" s="1">
        <v>53.125</v>
      </c>
      <c r="N83" s="1">
        <v>34</v>
      </c>
      <c r="O83" s="1">
        <v>53.125</v>
      </c>
      <c r="P83" s="1">
        <v>-8.1815</v>
      </c>
      <c r="Q83" s="1">
        <f t="shared" si="2"/>
        <v>-278.171</v>
      </c>
      <c r="R83" s="1">
        <v>-8.1815</v>
      </c>
      <c r="S83" s="1">
        <v>-11.537</v>
      </c>
      <c r="T83" s="1">
        <v>-5.273</v>
      </c>
      <c r="U83" s="1">
        <v>-6.24605882352941</v>
      </c>
      <c r="V83" s="1">
        <v>-6.1375</v>
      </c>
      <c r="W83" s="1">
        <v>-6.50367647058824</v>
      </c>
      <c r="X83" s="1">
        <v>-6.314</v>
      </c>
      <c r="Y83" s="1">
        <v>0.333335700347271</v>
      </c>
      <c r="Z83" s="1">
        <v>0.321612240686244</v>
      </c>
      <c r="AA83" s="1">
        <v>0.671904761904762</v>
      </c>
      <c r="AB83" s="1">
        <v>0.66</v>
      </c>
      <c r="AC83" s="1">
        <v>0.268133515436674</v>
      </c>
      <c r="AD83" s="1">
        <v>0.262397594286869</v>
      </c>
      <c r="AE83" s="1">
        <v>0.745374295821367</v>
      </c>
      <c r="AF83" s="1">
        <v>0.79505610284145</v>
      </c>
      <c r="AG83" s="1" t="s">
        <v>51</v>
      </c>
      <c r="AH83" s="1">
        <v>0.813469198391895</v>
      </c>
      <c r="AI83" s="1">
        <v>0.811987321809145</v>
      </c>
      <c r="AJ83" s="1" t="s">
        <v>51</v>
      </c>
      <c r="AK83" s="1">
        <v>0.805605351760618</v>
      </c>
      <c r="AL83" s="1">
        <v>0.824987621195659</v>
      </c>
      <c r="AM83" s="1">
        <v>0.338287116323422</v>
      </c>
      <c r="AN83" s="1">
        <v>0.623651538044742</v>
      </c>
      <c r="AO83" s="1">
        <v>86</v>
      </c>
    </row>
    <row r="84" s="1" customFormat="1" spans="1:41">
      <c r="A84" s="1" t="s">
        <v>350</v>
      </c>
      <c r="B84" s="1" t="s">
        <v>351</v>
      </c>
      <c r="C84" s="1">
        <v>720.337807</v>
      </c>
      <c r="D84" s="1" t="s">
        <v>352</v>
      </c>
      <c r="E84" s="1" t="s">
        <v>353</v>
      </c>
      <c r="F84" s="1" t="s">
        <v>45</v>
      </c>
      <c r="G84" s="1" t="s">
        <v>46</v>
      </c>
      <c r="H84" s="1">
        <v>8</v>
      </c>
      <c r="I84" s="1">
        <v>64</v>
      </c>
      <c r="J84" s="1">
        <v>63</v>
      </c>
      <c r="K84" s="1">
        <v>98.4375</v>
      </c>
      <c r="L84" s="1">
        <v>39</v>
      </c>
      <c r="M84" s="1">
        <v>60.9375</v>
      </c>
      <c r="N84" s="1">
        <v>39</v>
      </c>
      <c r="O84" s="1">
        <v>60.9375</v>
      </c>
      <c r="P84" s="1">
        <v>-7.8474358974359</v>
      </c>
      <c r="Q84" s="1">
        <f t="shared" si="2"/>
        <v>-306.05</v>
      </c>
      <c r="R84" s="1">
        <v>-8.041</v>
      </c>
      <c r="S84" s="1">
        <v>-10.219</v>
      </c>
      <c r="T84" s="1">
        <v>-5.833</v>
      </c>
      <c r="U84" s="1">
        <v>-5.71641025641026</v>
      </c>
      <c r="V84" s="1">
        <v>-5.888</v>
      </c>
      <c r="W84" s="1">
        <v>-6.14079487179487</v>
      </c>
      <c r="X84" s="1">
        <v>-6.232</v>
      </c>
      <c r="Y84" s="1">
        <v>0.331956706150234</v>
      </c>
      <c r="Z84" s="1">
        <v>0.340531496801624</v>
      </c>
      <c r="AA84" s="1">
        <v>0.632063492063492</v>
      </c>
      <c r="AB84" s="1">
        <v>0.63</v>
      </c>
      <c r="AC84" s="1">
        <v>0.191174153555529</v>
      </c>
      <c r="AD84" s="1">
        <v>0.179946191342675</v>
      </c>
      <c r="AE84" s="1">
        <v>0.74262645705159</v>
      </c>
      <c r="AF84" s="1">
        <v>0.793647281515828</v>
      </c>
      <c r="AG84" s="1">
        <v>0.830444121132459</v>
      </c>
      <c r="AH84" s="1">
        <v>0.80018586964974</v>
      </c>
      <c r="AI84" s="1">
        <v>0.814673854360768</v>
      </c>
      <c r="AJ84" s="1">
        <v>0.798106870164713</v>
      </c>
      <c r="AK84" s="1">
        <v>0.80652397040603</v>
      </c>
      <c r="AL84" s="1">
        <v>0.821405455850741</v>
      </c>
      <c r="AM84" s="1">
        <v>0.317651869390629</v>
      </c>
      <c r="AN84" s="1">
        <v>0.619523206417601</v>
      </c>
      <c r="AO84" s="1">
        <v>82</v>
      </c>
    </row>
    <row r="85" s="1" customFormat="1" spans="1:41">
      <c r="A85" s="1" t="s">
        <v>354</v>
      </c>
      <c r="B85" s="1" t="s">
        <v>355</v>
      </c>
      <c r="C85" s="1">
        <v>598.199186</v>
      </c>
      <c r="D85" s="1" t="s">
        <v>356</v>
      </c>
      <c r="E85" s="1" t="s">
        <v>357</v>
      </c>
      <c r="F85" s="1" t="s">
        <v>45</v>
      </c>
      <c r="G85" s="1" t="s">
        <v>46</v>
      </c>
      <c r="H85" s="1">
        <v>8</v>
      </c>
      <c r="I85" s="1">
        <v>64</v>
      </c>
      <c r="J85" s="1">
        <v>64</v>
      </c>
      <c r="K85" s="1">
        <v>100</v>
      </c>
      <c r="L85" s="1">
        <v>38</v>
      </c>
      <c r="M85" s="1">
        <v>59.375</v>
      </c>
      <c r="N85" s="1">
        <v>38</v>
      </c>
      <c r="O85" s="1">
        <v>59.375</v>
      </c>
      <c r="P85" s="1">
        <v>-7.20434210526316</v>
      </c>
      <c r="Q85" s="1">
        <f t="shared" si="2"/>
        <v>-273.765</v>
      </c>
      <c r="R85" s="1">
        <v>-7.036</v>
      </c>
      <c r="S85" s="1">
        <v>-9.979</v>
      </c>
      <c r="T85" s="1">
        <v>-5.081</v>
      </c>
      <c r="U85" s="1">
        <v>-4.7595</v>
      </c>
      <c r="V85" s="1">
        <v>-4.692</v>
      </c>
      <c r="W85" s="1">
        <v>-5.19628947368421</v>
      </c>
      <c r="X85" s="1">
        <v>-5.1885</v>
      </c>
      <c r="Y85" s="1">
        <v>0.326648188361388</v>
      </c>
      <c r="Z85" s="1">
        <v>0.27807384612498</v>
      </c>
      <c r="AA85" s="1">
        <v>0.68578125</v>
      </c>
      <c r="AB85" s="1">
        <v>0.675</v>
      </c>
      <c r="AC85" s="1">
        <v>0.187557432495623</v>
      </c>
      <c r="AD85" s="1">
        <v>0.170507537879851</v>
      </c>
      <c r="AE85" s="1">
        <v>0.736279758580276</v>
      </c>
      <c r="AF85" s="1">
        <v>0.815714993249205</v>
      </c>
      <c r="AG85" s="1">
        <v>0.819517985449979</v>
      </c>
      <c r="AH85" s="1">
        <v>0.797895388238602</v>
      </c>
      <c r="AI85" s="1">
        <v>0.814113369782389</v>
      </c>
      <c r="AJ85" s="1">
        <v>0.803060404784286</v>
      </c>
      <c r="AK85" s="1">
        <v>0.810090255001862</v>
      </c>
      <c r="AL85" s="1">
        <v>0.821572110152949</v>
      </c>
      <c r="AM85" s="1">
        <v>0.332122582564597</v>
      </c>
      <c r="AN85" s="1">
        <v>0.628533505183786</v>
      </c>
      <c r="AO85" s="1">
        <v>88</v>
      </c>
    </row>
    <row r="86" s="1" customFormat="1" spans="1:41">
      <c r="A86" s="1" t="s">
        <v>358</v>
      </c>
      <c r="B86" s="1" t="s">
        <v>359</v>
      </c>
      <c r="C86" s="1">
        <v>217.522526</v>
      </c>
      <c r="D86" s="1" t="s">
        <v>360</v>
      </c>
      <c r="E86" s="1" t="s">
        <v>361</v>
      </c>
      <c r="F86" s="1" t="s">
        <v>45</v>
      </c>
      <c r="G86" s="1" t="s">
        <v>46</v>
      </c>
      <c r="H86" s="1">
        <v>8</v>
      </c>
      <c r="I86" s="1">
        <v>64</v>
      </c>
      <c r="J86" s="1">
        <v>63</v>
      </c>
      <c r="K86" s="1">
        <v>98.4375</v>
      </c>
      <c r="L86" s="1">
        <v>28</v>
      </c>
      <c r="M86" s="1">
        <v>43.75</v>
      </c>
      <c r="N86" s="1">
        <v>28</v>
      </c>
      <c r="O86" s="1">
        <v>43.75</v>
      </c>
      <c r="P86" s="1">
        <v>3.53910714285714</v>
      </c>
      <c r="Q86" s="1">
        <f t="shared" si="2"/>
        <v>99.095</v>
      </c>
      <c r="R86" s="1">
        <v>5.1375</v>
      </c>
      <c r="S86" s="1">
        <v>-4.533</v>
      </c>
      <c r="T86" s="1">
        <v>14.328</v>
      </c>
      <c r="U86" s="1">
        <v>69.2285</v>
      </c>
      <c r="V86" s="1">
        <v>89.755</v>
      </c>
      <c r="W86" s="1">
        <v>30.3111428571429</v>
      </c>
      <c r="X86" s="1">
        <v>19.4235</v>
      </c>
      <c r="Y86" s="1">
        <v>0.422808437019271</v>
      </c>
      <c r="Z86" s="1">
        <v>0.434533459515487</v>
      </c>
      <c r="AA86" s="1">
        <v>0.718412698412699</v>
      </c>
      <c r="AB86" s="1">
        <v>0.73</v>
      </c>
      <c r="AC86" s="1">
        <v>0.273162395995338</v>
      </c>
      <c r="AD86" s="1">
        <v>0.260685576001006</v>
      </c>
      <c r="AE86" s="1">
        <v>0.770512398665005</v>
      </c>
      <c r="AF86" s="1">
        <v>0.802886645497699</v>
      </c>
      <c r="AG86" s="1" t="s">
        <v>51</v>
      </c>
      <c r="AH86" s="1">
        <v>0.804542436843512</v>
      </c>
      <c r="AI86" s="1">
        <v>0.814635108515115</v>
      </c>
      <c r="AJ86" s="1" t="s">
        <v>51</v>
      </c>
      <c r="AK86" s="1">
        <v>0.806879974687385</v>
      </c>
      <c r="AL86" s="1">
        <v>0.823665551469724</v>
      </c>
      <c r="AM86" s="1">
        <v>0.508340267282337</v>
      </c>
      <c r="AN86" s="1">
        <v>0.686475338870372</v>
      </c>
      <c r="AO86" s="1">
        <v>61</v>
      </c>
    </row>
    <row r="87" s="1" customFormat="1" spans="1:41">
      <c r="A87" s="1" t="s">
        <v>362</v>
      </c>
      <c r="B87" s="1" t="s">
        <v>363</v>
      </c>
      <c r="C87" s="1">
        <v>229.571505</v>
      </c>
      <c r="D87" s="1" t="s">
        <v>364</v>
      </c>
      <c r="E87" s="1" t="s">
        <v>365</v>
      </c>
      <c r="F87" s="1" t="s">
        <v>45</v>
      </c>
      <c r="G87" s="1" t="s">
        <v>46</v>
      </c>
      <c r="H87" s="1">
        <v>8</v>
      </c>
      <c r="I87" s="1">
        <v>64</v>
      </c>
      <c r="J87" s="1">
        <v>61</v>
      </c>
      <c r="K87" s="1">
        <v>95.3125</v>
      </c>
      <c r="L87" s="1">
        <v>13</v>
      </c>
      <c r="M87" s="1">
        <v>20.3125</v>
      </c>
      <c r="N87" s="1">
        <v>13</v>
      </c>
      <c r="O87" s="1">
        <v>20.3125</v>
      </c>
      <c r="P87" s="1">
        <v>-6.53092307692307</v>
      </c>
      <c r="Q87" s="1">
        <f t="shared" si="2"/>
        <v>-84.902</v>
      </c>
      <c r="R87" s="1">
        <v>-6.937</v>
      </c>
      <c r="S87" s="1">
        <v>-8.165</v>
      </c>
      <c r="T87" s="1">
        <v>-4.579</v>
      </c>
      <c r="U87" s="1">
        <v>-5.40961538461538</v>
      </c>
      <c r="V87" s="1">
        <v>-5.246</v>
      </c>
      <c r="W87" s="1">
        <v>-5.68861538461538</v>
      </c>
      <c r="X87" s="1">
        <v>-5.479</v>
      </c>
      <c r="Y87" s="1">
        <v>0.278094049847218</v>
      </c>
      <c r="Z87" s="1">
        <v>0.261181681567608</v>
      </c>
      <c r="AA87" s="1">
        <v>0.635409836065574</v>
      </c>
      <c r="AB87" s="1">
        <v>0.63</v>
      </c>
      <c r="AC87" s="1">
        <v>0.211655346810604</v>
      </c>
      <c r="AD87" s="1">
        <v>0.202071988113705</v>
      </c>
      <c r="AE87" s="1">
        <v>0.763447362085289</v>
      </c>
      <c r="AF87" s="1">
        <v>0.81104578265101</v>
      </c>
      <c r="AG87" s="1" t="s">
        <v>51</v>
      </c>
      <c r="AH87" s="1">
        <v>0.800570898073286</v>
      </c>
      <c r="AI87" s="1">
        <v>0.81426136856543</v>
      </c>
      <c r="AJ87" s="1" t="s">
        <v>51</v>
      </c>
      <c r="AK87" s="1">
        <v>0.816795230936579</v>
      </c>
      <c r="AL87" s="1">
        <v>0.832474608302944</v>
      </c>
      <c r="AM87" s="1">
        <v>0.398411840135815</v>
      </c>
      <c r="AN87" s="1">
        <v>0.665290657243178</v>
      </c>
      <c r="AO87" s="1">
        <v>95</v>
      </c>
    </row>
    <row r="88" s="1" customFormat="1" spans="1:41">
      <c r="A88" s="1" t="s">
        <v>366</v>
      </c>
      <c r="B88" s="1" t="s">
        <v>367</v>
      </c>
      <c r="C88" s="1">
        <v>638.396297</v>
      </c>
      <c r="D88" s="1" t="s">
        <v>368</v>
      </c>
      <c r="E88" s="1" t="s">
        <v>369</v>
      </c>
      <c r="F88" s="1" t="s">
        <v>45</v>
      </c>
      <c r="G88" s="1" t="s">
        <v>46</v>
      </c>
      <c r="H88" s="1">
        <v>8</v>
      </c>
      <c r="I88" s="1">
        <v>64</v>
      </c>
      <c r="J88" s="1">
        <v>59</v>
      </c>
      <c r="K88" s="1">
        <v>92.1875</v>
      </c>
      <c r="L88" s="1">
        <v>43</v>
      </c>
      <c r="M88" s="1">
        <v>67.1875</v>
      </c>
      <c r="N88" s="1">
        <v>43</v>
      </c>
      <c r="O88" s="1">
        <v>67.1875</v>
      </c>
      <c r="P88" s="1">
        <v>-7.34976744186047</v>
      </c>
      <c r="Q88" s="1">
        <f t="shared" si="2"/>
        <v>-316.04</v>
      </c>
      <c r="R88" s="1">
        <v>-7.29</v>
      </c>
      <c r="S88" s="1">
        <v>-10.038</v>
      </c>
      <c r="T88" s="1">
        <v>-4.83</v>
      </c>
      <c r="U88" s="1">
        <v>-4.18495348837209</v>
      </c>
      <c r="V88" s="1">
        <v>-4.109</v>
      </c>
      <c r="W88" s="1">
        <v>-5.07039534883721</v>
      </c>
      <c r="X88" s="1">
        <v>-4.649</v>
      </c>
      <c r="Y88" s="1">
        <v>0.314065341748773</v>
      </c>
      <c r="Z88" s="1">
        <v>0.282473702716981</v>
      </c>
      <c r="AA88" s="1">
        <v>0.678305084745763</v>
      </c>
      <c r="AB88" s="1">
        <v>0.68</v>
      </c>
      <c r="AC88" s="1">
        <v>0.199211765259293</v>
      </c>
      <c r="AD88" s="1">
        <v>0.195951712115136</v>
      </c>
      <c r="AE88" s="1">
        <v>0.750685076911237</v>
      </c>
      <c r="AF88" s="1">
        <v>0.802643685887533</v>
      </c>
      <c r="AG88" s="1" t="s">
        <v>51</v>
      </c>
      <c r="AH88" s="1">
        <v>0.795788342349566</v>
      </c>
      <c r="AI88" s="1">
        <v>0.817927666824582</v>
      </c>
      <c r="AJ88" s="1">
        <v>0.795453676137127</v>
      </c>
      <c r="AK88" s="1">
        <v>0.810900272755048</v>
      </c>
      <c r="AL88" s="1">
        <v>0.817693836934583</v>
      </c>
      <c r="AM88" s="1">
        <v>0.339416354638053</v>
      </c>
      <c r="AN88" s="1">
        <v>0.64768571379307</v>
      </c>
      <c r="AO88" s="1">
        <v>45</v>
      </c>
    </row>
    <row r="89" s="1" customFormat="1" spans="1:41">
      <c r="A89" s="1" t="s">
        <v>370</v>
      </c>
      <c r="B89" s="1" t="s">
        <v>371</v>
      </c>
      <c r="C89" s="1">
        <v>838.543216</v>
      </c>
      <c r="D89" s="1" t="s">
        <v>372</v>
      </c>
      <c r="E89" s="1" t="s">
        <v>373</v>
      </c>
      <c r="F89" s="1" t="s">
        <v>45</v>
      </c>
      <c r="G89" s="1" t="s">
        <v>46</v>
      </c>
      <c r="H89" s="1">
        <v>8</v>
      </c>
      <c r="I89" s="1">
        <v>64</v>
      </c>
      <c r="J89" s="1">
        <v>63</v>
      </c>
      <c r="K89" s="1">
        <v>98.4375</v>
      </c>
      <c r="L89" s="1">
        <v>45</v>
      </c>
      <c r="M89" s="1">
        <v>70.3125</v>
      </c>
      <c r="N89" s="1">
        <v>45</v>
      </c>
      <c r="O89" s="1">
        <v>70.3125</v>
      </c>
      <c r="P89" s="1">
        <v>-9.547</v>
      </c>
      <c r="Q89" s="1">
        <f t="shared" si="2"/>
        <v>-429.615</v>
      </c>
      <c r="R89" s="1">
        <v>-9.54</v>
      </c>
      <c r="S89" s="1">
        <v>-12.975</v>
      </c>
      <c r="T89" s="1">
        <v>-5.899</v>
      </c>
      <c r="U89" s="1">
        <v>-5.23075555555556</v>
      </c>
      <c r="V89" s="1">
        <v>-7.474</v>
      </c>
      <c r="W89" s="1">
        <v>-7.85604444444445</v>
      </c>
      <c r="X89" s="1">
        <v>-8.148</v>
      </c>
      <c r="Y89" s="1">
        <v>0.291185572213051</v>
      </c>
      <c r="Z89" s="1">
        <v>0.286393375674799</v>
      </c>
      <c r="AA89" s="1">
        <v>0.603015873015873</v>
      </c>
      <c r="AB89" s="1">
        <v>0.59</v>
      </c>
      <c r="AC89" s="1">
        <v>0.196281210730018</v>
      </c>
      <c r="AD89" s="1">
        <v>0.194140500840173</v>
      </c>
      <c r="AE89" s="1">
        <v>0.736914877045912</v>
      </c>
      <c r="AF89" s="1">
        <v>0.811973981134505</v>
      </c>
      <c r="AG89" s="1">
        <v>0.753205580418518</v>
      </c>
      <c r="AH89" s="1">
        <v>0.79337157547868</v>
      </c>
      <c r="AI89" s="1">
        <v>0.814935363177583</v>
      </c>
      <c r="AJ89" s="1">
        <v>0.81622932021398</v>
      </c>
      <c r="AK89" s="1">
        <v>0.801274548331896</v>
      </c>
      <c r="AL89" s="1">
        <v>0.815539774230294</v>
      </c>
      <c r="AM89" s="1">
        <v>0.294140884735585</v>
      </c>
      <c r="AN89" s="1">
        <v>0.62262689773847</v>
      </c>
      <c r="AO89" s="1">
        <v>75</v>
      </c>
    </row>
    <row r="90" s="1" customFormat="1" spans="1:41">
      <c r="A90" s="1" t="s">
        <v>374</v>
      </c>
      <c r="B90" s="1" t="s">
        <v>375</v>
      </c>
      <c r="C90" s="1">
        <v>367.669717</v>
      </c>
      <c r="D90" s="1" t="s">
        <v>376</v>
      </c>
      <c r="E90" s="1" t="s">
        <v>377</v>
      </c>
      <c r="F90" s="1" t="s">
        <v>45</v>
      </c>
      <c r="G90" s="1" t="s">
        <v>46</v>
      </c>
      <c r="H90" s="1">
        <v>8</v>
      </c>
      <c r="I90" s="1">
        <v>64</v>
      </c>
      <c r="J90" s="1">
        <v>63</v>
      </c>
      <c r="K90" s="1">
        <v>98.4375</v>
      </c>
      <c r="L90" s="1">
        <v>57</v>
      </c>
      <c r="M90" s="1">
        <v>89.0625</v>
      </c>
      <c r="N90" s="1">
        <v>57</v>
      </c>
      <c r="O90" s="1">
        <v>89.0625</v>
      </c>
      <c r="P90" s="1">
        <v>-6.22931578947368</v>
      </c>
      <c r="Q90" s="1">
        <f t="shared" si="2"/>
        <v>-355.071</v>
      </c>
      <c r="R90" s="1">
        <v>-5.91</v>
      </c>
      <c r="S90" s="1">
        <v>-9.794</v>
      </c>
      <c r="T90" s="1">
        <v>-4.514</v>
      </c>
      <c r="U90" s="1">
        <v>1.24331578947368</v>
      </c>
      <c r="V90" s="1">
        <v>-4.299</v>
      </c>
      <c r="W90" s="1">
        <v>-1.34519298245614</v>
      </c>
      <c r="X90" s="1">
        <v>-4.608</v>
      </c>
      <c r="Y90" s="1">
        <v>0.441838434932818</v>
      </c>
      <c r="Z90" s="1">
        <v>0.471411008566372</v>
      </c>
      <c r="AA90" s="1">
        <v>0.62</v>
      </c>
      <c r="AB90" s="1">
        <v>0.61</v>
      </c>
      <c r="AC90" s="1">
        <v>0.287094875967243</v>
      </c>
      <c r="AD90" s="1">
        <v>0.306924443783393</v>
      </c>
      <c r="AE90" s="1">
        <v>0.781410219698895</v>
      </c>
      <c r="AF90" s="1">
        <v>0.813574319917584</v>
      </c>
      <c r="AG90" s="1">
        <v>0.793492379244806</v>
      </c>
      <c r="AH90" s="1">
        <v>0.79461340820954</v>
      </c>
      <c r="AI90" s="1">
        <v>0.811753257846933</v>
      </c>
      <c r="AJ90" s="1">
        <v>0.807194452913313</v>
      </c>
      <c r="AK90" s="1">
        <v>0.800032000074852</v>
      </c>
      <c r="AL90" s="1">
        <v>0.804823163758835</v>
      </c>
      <c r="AM90" s="1">
        <v>0.507982307686434</v>
      </c>
      <c r="AN90" s="1">
        <v>0.686801483251612</v>
      </c>
      <c r="AO90" s="1">
        <v>87</v>
      </c>
    </row>
    <row r="91" s="1" customFormat="1" spans="1:41">
      <c r="A91" s="1" t="s">
        <v>378</v>
      </c>
      <c r="B91" s="1" t="s">
        <v>379</v>
      </c>
      <c r="C91" s="1">
        <v>572.003536</v>
      </c>
      <c r="D91" s="1" t="s">
        <v>380</v>
      </c>
      <c r="E91" s="1" t="s">
        <v>381</v>
      </c>
      <c r="F91" s="1" t="s">
        <v>45</v>
      </c>
      <c r="G91" s="1" t="s">
        <v>46</v>
      </c>
      <c r="H91" s="1">
        <v>8</v>
      </c>
      <c r="I91" s="1">
        <v>64</v>
      </c>
      <c r="J91" s="1">
        <v>61</v>
      </c>
      <c r="K91" s="1">
        <v>95.3125</v>
      </c>
      <c r="L91" s="1">
        <v>35</v>
      </c>
      <c r="M91" s="1">
        <v>54.6875</v>
      </c>
      <c r="N91" s="1">
        <v>35</v>
      </c>
      <c r="O91" s="1">
        <v>54.6875</v>
      </c>
      <c r="P91" s="1">
        <v>-8.0864</v>
      </c>
      <c r="Q91" s="1">
        <f t="shared" si="2"/>
        <v>-283.024</v>
      </c>
      <c r="R91" s="1">
        <v>-8.119</v>
      </c>
      <c r="S91" s="1">
        <v>-11.596</v>
      </c>
      <c r="T91" s="1">
        <v>-4.6</v>
      </c>
      <c r="U91" s="1">
        <v>-2.89848571428571</v>
      </c>
      <c r="V91" s="1">
        <v>-4.125</v>
      </c>
      <c r="W91" s="1">
        <v>-5.36491428571429</v>
      </c>
      <c r="X91" s="1">
        <v>-5.146</v>
      </c>
      <c r="Y91" s="1">
        <v>0.271052942147065</v>
      </c>
      <c r="Z91" s="1">
        <v>0.247739616500564</v>
      </c>
      <c r="AA91" s="1">
        <v>0.587</v>
      </c>
      <c r="AB91" s="1">
        <v>0.57</v>
      </c>
      <c r="AC91" s="1">
        <v>0.235116961524237</v>
      </c>
      <c r="AD91" s="1">
        <v>0.212082458490092</v>
      </c>
      <c r="AE91" s="1">
        <v>0.755345646019538</v>
      </c>
      <c r="AF91" s="1">
        <v>0.80222681664789</v>
      </c>
      <c r="AG91" s="1">
        <v>0.822132862947208</v>
      </c>
      <c r="AH91" s="1">
        <v>0.801539778288721</v>
      </c>
      <c r="AI91" s="1">
        <v>0.816485281740614</v>
      </c>
      <c r="AJ91" s="1">
        <v>0.809206460789356</v>
      </c>
      <c r="AK91" s="1">
        <v>0.803268162653286</v>
      </c>
      <c r="AL91" s="1">
        <v>0.80707185452865</v>
      </c>
      <c r="AM91" s="1">
        <v>0.328227593458974</v>
      </c>
      <c r="AN91" s="1">
        <v>0.6714992691607</v>
      </c>
      <c r="AO91" s="1">
        <v>91</v>
      </c>
    </row>
    <row r="92" s="1" customFormat="1" spans="1:41">
      <c r="A92" s="1" t="s">
        <v>382</v>
      </c>
      <c r="B92" s="1" t="s">
        <v>383</v>
      </c>
      <c r="C92" s="1">
        <v>333.791284</v>
      </c>
      <c r="D92" s="1" t="s">
        <v>384</v>
      </c>
      <c r="E92" s="1" t="s">
        <v>385</v>
      </c>
      <c r="F92" s="1" t="s">
        <v>45</v>
      </c>
      <c r="G92" s="1" t="s">
        <v>46</v>
      </c>
      <c r="H92" s="1">
        <v>8</v>
      </c>
      <c r="I92" s="1">
        <v>64</v>
      </c>
      <c r="J92" s="1">
        <v>62</v>
      </c>
      <c r="K92" s="1">
        <v>96.875</v>
      </c>
      <c r="L92" s="1">
        <v>29</v>
      </c>
      <c r="M92" s="1">
        <v>45.3125</v>
      </c>
      <c r="N92" s="1">
        <v>29</v>
      </c>
      <c r="O92" s="1">
        <v>45.3125</v>
      </c>
      <c r="P92" s="1">
        <v>-7.741</v>
      </c>
      <c r="Q92" s="1">
        <f t="shared" si="2"/>
        <v>-224.489</v>
      </c>
      <c r="R92" s="1">
        <v>-7.961</v>
      </c>
      <c r="S92" s="1">
        <v>-9.424</v>
      </c>
      <c r="T92" s="1">
        <v>-4.892</v>
      </c>
      <c r="U92" s="1">
        <v>0.0583793103448275</v>
      </c>
      <c r="V92" s="1">
        <v>-4.151</v>
      </c>
      <c r="W92" s="1">
        <v>-5.40879310344827</v>
      </c>
      <c r="X92" s="1">
        <v>-5.379</v>
      </c>
      <c r="Y92" s="1">
        <v>0.37447800018739</v>
      </c>
      <c r="Z92" s="1">
        <v>0.347885855682655</v>
      </c>
      <c r="AA92" s="1">
        <v>0.637741935483871</v>
      </c>
      <c r="AB92" s="1">
        <v>0.625</v>
      </c>
      <c r="AC92" s="1">
        <v>0.250207081183209</v>
      </c>
      <c r="AD92" s="1">
        <v>0.263383344991477</v>
      </c>
      <c r="AE92" s="1">
        <v>0.75956466914713</v>
      </c>
      <c r="AF92" s="1">
        <v>0.801807142884824</v>
      </c>
      <c r="AG92" s="1">
        <v>0.736236805902639</v>
      </c>
      <c r="AH92" s="1">
        <v>0.797209975307342</v>
      </c>
      <c r="AI92" s="1">
        <v>0.819761446800428</v>
      </c>
      <c r="AJ92" s="1" t="s">
        <v>51</v>
      </c>
      <c r="AK92" s="1">
        <v>0.80377771053996</v>
      </c>
      <c r="AL92" s="1">
        <v>0.798407535390025</v>
      </c>
      <c r="AM92" s="1">
        <v>0.356780063887117</v>
      </c>
      <c r="AN92" s="1">
        <v>0.653972122100252</v>
      </c>
      <c r="AO92" s="1">
        <v>89</v>
      </c>
    </row>
    <row r="93" s="1" customFormat="1" spans="1:41">
      <c r="A93" s="1" t="s">
        <v>386</v>
      </c>
      <c r="B93" s="1" t="s">
        <v>387</v>
      </c>
      <c r="C93" s="1">
        <v>525.916881</v>
      </c>
      <c r="D93" s="1" t="s">
        <v>388</v>
      </c>
      <c r="E93" s="1" t="s">
        <v>389</v>
      </c>
      <c r="F93" s="1" t="s">
        <v>45</v>
      </c>
      <c r="G93" s="1" t="s">
        <v>46</v>
      </c>
      <c r="H93" s="1">
        <v>8</v>
      </c>
      <c r="I93" s="1">
        <v>64</v>
      </c>
      <c r="J93" s="1">
        <v>64</v>
      </c>
      <c r="K93" s="1">
        <v>100</v>
      </c>
      <c r="L93" s="1">
        <v>35</v>
      </c>
      <c r="M93" s="1">
        <v>54.6875</v>
      </c>
      <c r="N93" s="1">
        <v>35</v>
      </c>
      <c r="O93" s="1">
        <v>54.6875</v>
      </c>
      <c r="P93" s="1">
        <v>-7.9634</v>
      </c>
      <c r="Q93" s="1">
        <f t="shared" si="2"/>
        <v>-278.719</v>
      </c>
      <c r="R93" s="1">
        <v>-7.87</v>
      </c>
      <c r="S93" s="1">
        <v>-10.243</v>
      </c>
      <c r="T93" s="1">
        <v>-5.401</v>
      </c>
      <c r="U93" s="1">
        <v>-4.05968571428571</v>
      </c>
      <c r="V93" s="1">
        <v>-3.938</v>
      </c>
      <c r="W93" s="1">
        <v>-4.58385714285714</v>
      </c>
      <c r="X93" s="1">
        <v>-4.43</v>
      </c>
      <c r="Y93" s="1">
        <v>0.350902413127501</v>
      </c>
      <c r="Z93" s="1">
        <v>0.32487241911353</v>
      </c>
      <c r="AA93" s="1">
        <v>0.677619047619047</v>
      </c>
      <c r="AB93" s="1">
        <v>0.66</v>
      </c>
      <c r="AC93" s="1">
        <v>0.243841992971424</v>
      </c>
      <c r="AD93" s="1">
        <v>0.244956931688368</v>
      </c>
      <c r="AE93" s="1">
        <v>0.741483218523124</v>
      </c>
      <c r="AF93" s="1">
        <v>0.803568336458513</v>
      </c>
      <c r="AG93" s="1">
        <v>0.79954838076702</v>
      </c>
      <c r="AH93" s="1">
        <v>0.804770907029765</v>
      </c>
      <c r="AI93" s="1">
        <v>0.822075630966248</v>
      </c>
      <c r="AJ93" s="1" t="s">
        <v>51</v>
      </c>
      <c r="AK93" s="1">
        <v>0.804084075510877</v>
      </c>
      <c r="AL93" s="1">
        <v>0.825860377429644</v>
      </c>
      <c r="AM93" s="1">
        <v>0.335449552595523</v>
      </c>
      <c r="AN93" s="1">
        <v>0.615645870004137</v>
      </c>
      <c r="AO93" s="1">
        <v>97</v>
      </c>
    </row>
    <row r="94" s="1" customFormat="1" spans="1:41">
      <c r="A94" s="1" t="s">
        <v>390</v>
      </c>
      <c r="B94" s="1" t="s">
        <v>391</v>
      </c>
      <c r="C94" s="1">
        <v>1361.178975</v>
      </c>
      <c r="D94" s="1" t="s">
        <v>392</v>
      </c>
      <c r="E94" s="1" t="s">
        <v>393</v>
      </c>
      <c r="F94" s="1" t="s">
        <v>45</v>
      </c>
      <c r="G94" s="1" t="s">
        <v>46</v>
      </c>
      <c r="H94" s="1">
        <v>8</v>
      </c>
      <c r="I94" s="1">
        <v>64</v>
      </c>
      <c r="J94" s="1">
        <v>61</v>
      </c>
      <c r="K94" s="1">
        <v>95.3125</v>
      </c>
      <c r="L94" s="1">
        <v>36</v>
      </c>
      <c r="M94" s="1">
        <v>56.25</v>
      </c>
      <c r="N94" s="1">
        <v>36</v>
      </c>
      <c r="O94" s="1">
        <v>56.25</v>
      </c>
      <c r="P94" s="1">
        <v>-11.2416944444444</v>
      </c>
      <c r="Q94" s="1">
        <f t="shared" si="2"/>
        <v>-404.701</v>
      </c>
      <c r="R94" s="1">
        <v>-10.897</v>
      </c>
      <c r="S94" s="1">
        <v>-16.232</v>
      </c>
      <c r="T94" s="1">
        <v>-8.315</v>
      </c>
      <c r="U94" s="1">
        <v>-9.96594444444444</v>
      </c>
      <c r="V94" s="1">
        <v>-9.5755</v>
      </c>
      <c r="W94" s="1">
        <v>-10.1233611111111</v>
      </c>
      <c r="X94" s="1">
        <v>-9.8265</v>
      </c>
      <c r="Y94" s="1">
        <v>0.124597844485917</v>
      </c>
      <c r="Z94" s="1">
        <v>0.101426318687449</v>
      </c>
      <c r="AA94" s="1">
        <v>0.526885245901639</v>
      </c>
      <c r="AB94" s="1">
        <v>0.48</v>
      </c>
      <c r="AC94" s="1">
        <v>0.207405433198369</v>
      </c>
      <c r="AD94" s="1">
        <v>0.203048377630326</v>
      </c>
      <c r="AE94" s="1">
        <v>0.717001320722394</v>
      </c>
      <c r="AF94" s="1">
        <v>0.791840903591147</v>
      </c>
      <c r="AG94" s="1">
        <v>0.793263345066148</v>
      </c>
      <c r="AH94" s="1">
        <v>0.781187472705991</v>
      </c>
      <c r="AI94" s="1">
        <v>0.803483662507394</v>
      </c>
      <c r="AJ94" s="1">
        <v>0.809041031209519</v>
      </c>
      <c r="AK94" s="1">
        <v>0.813784312293262</v>
      </c>
      <c r="AL94" s="1">
        <v>0.803224237729013</v>
      </c>
      <c r="AM94" s="1">
        <v>0.256933481237119</v>
      </c>
      <c r="AN94" s="1">
        <v>0.584050056868019</v>
      </c>
      <c r="AO94" s="1">
        <v>80</v>
      </c>
    </row>
    <row r="95" s="1" customFormat="1" spans="1:41">
      <c r="A95" s="1" t="s">
        <v>394</v>
      </c>
      <c r="B95" s="1" t="s">
        <v>395</v>
      </c>
      <c r="C95" s="1">
        <v>852.49636</v>
      </c>
      <c r="D95" s="1" t="s">
        <v>396</v>
      </c>
      <c r="E95" s="1" t="s">
        <v>397</v>
      </c>
      <c r="F95" s="1" t="s">
        <v>45</v>
      </c>
      <c r="G95" s="1" t="s">
        <v>46</v>
      </c>
      <c r="H95" s="1">
        <v>8</v>
      </c>
      <c r="I95" s="1">
        <v>64</v>
      </c>
      <c r="J95" s="1">
        <v>63</v>
      </c>
      <c r="K95" s="1">
        <v>98.4375</v>
      </c>
      <c r="L95" s="1">
        <v>44</v>
      </c>
      <c r="M95" s="1">
        <v>68.75</v>
      </c>
      <c r="N95" s="1">
        <v>44</v>
      </c>
      <c r="O95" s="1">
        <v>68.75</v>
      </c>
      <c r="P95" s="1">
        <v>-9.26122727272727</v>
      </c>
      <c r="Q95" s="1">
        <f t="shared" si="2"/>
        <v>-407.494</v>
      </c>
      <c r="R95" s="1">
        <v>-9.2705</v>
      </c>
      <c r="S95" s="1">
        <v>-13.659</v>
      </c>
      <c r="T95" s="1">
        <v>-5.015</v>
      </c>
      <c r="U95" s="1">
        <v>-7.37413636363636</v>
      </c>
      <c r="V95" s="1">
        <v>-7.022</v>
      </c>
      <c r="W95" s="1">
        <v>-7.56554545454545</v>
      </c>
      <c r="X95" s="1">
        <v>-7.1685</v>
      </c>
      <c r="Y95" s="1">
        <v>0.242047315280786</v>
      </c>
      <c r="Z95" s="1">
        <v>0.206265272325556</v>
      </c>
      <c r="AA95" s="1">
        <v>0.63063492063492</v>
      </c>
      <c r="AB95" s="1">
        <v>0.67</v>
      </c>
      <c r="AC95" s="1">
        <v>0.265794766884097</v>
      </c>
      <c r="AD95" s="1">
        <v>0.24388216389627</v>
      </c>
      <c r="AE95" s="1">
        <v>0.735061811732183</v>
      </c>
      <c r="AF95" s="1">
        <v>0.799543218960506</v>
      </c>
      <c r="AG95" s="1">
        <v>0.813973438685449</v>
      </c>
      <c r="AH95" s="1">
        <v>0.795202679429836</v>
      </c>
      <c r="AI95" s="1">
        <v>0.818897993917368</v>
      </c>
      <c r="AJ95" s="1">
        <v>0.826739505675897</v>
      </c>
      <c r="AK95" s="1">
        <v>0.813262286557581</v>
      </c>
      <c r="AL95" s="1">
        <v>0.827257673337028</v>
      </c>
      <c r="AM95" s="1">
        <v>0.332684020997614</v>
      </c>
      <c r="AN95" s="1">
        <v>0.607156365653644</v>
      </c>
      <c r="AO95" s="1">
        <v>98</v>
      </c>
    </row>
    <row r="96" s="1" customFormat="1" spans="1:41">
      <c r="A96" s="1" t="s">
        <v>398</v>
      </c>
      <c r="B96" s="1" t="s">
        <v>399</v>
      </c>
      <c r="C96" s="1">
        <v>914.308748</v>
      </c>
      <c r="D96" s="1" t="s">
        <v>400</v>
      </c>
      <c r="E96" s="1" t="s">
        <v>401</v>
      </c>
      <c r="F96" s="1" t="s">
        <v>45</v>
      </c>
      <c r="G96" s="1" t="s">
        <v>46</v>
      </c>
      <c r="H96" s="1">
        <v>8</v>
      </c>
      <c r="I96" s="1">
        <v>64</v>
      </c>
      <c r="J96" s="1">
        <v>62</v>
      </c>
      <c r="K96" s="1">
        <v>96.875</v>
      </c>
      <c r="L96" s="1">
        <v>55</v>
      </c>
      <c r="M96" s="1">
        <v>85.9375</v>
      </c>
      <c r="N96" s="1">
        <v>55</v>
      </c>
      <c r="O96" s="1">
        <v>85.9375</v>
      </c>
      <c r="P96" s="1">
        <v>-10.4456</v>
      </c>
      <c r="Q96" s="1">
        <f t="shared" si="2"/>
        <v>-574.508</v>
      </c>
      <c r="R96" s="1">
        <v>-9.382</v>
      </c>
      <c r="S96" s="1">
        <v>-16.547</v>
      </c>
      <c r="T96" s="1">
        <v>-7.109</v>
      </c>
      <c r="U96" s="1">
        <v>-7.60685454545454</v>
      </c>
      <c r="V96" s="1">
        <v>-8.641</v>
      </c>
      <c r="W96" s="1">
        <v>-8.19896363636364</v>
      </c>
      <c r="X96" s="1">
        <v>-9.012</v>
      </c>
      <c r="Y96" s="1">
        <v>0.205266967581458</v>
      </c>
      <c r="Z96" s="1">
        <v>0.172669593805911</v>
      </c>
      <c r="AA96" s="1">
        <v>0.534354838709677</v>
      </c>
      <c r="AB96" s="1">
        <v>0.53</v>
      </c>
      <c r="AC96" s="1">
        <v>0.215520823008163</v>
      </c>
      <c r="AD96" s="1">
        <v>0.209253802251082</v>
      </c>
      <c r="AE96" s="1">
        <v>0.729757325483485</v>
      </c>
      <c r="AF96" s="1">
        <v>0.795497932742577</v>
      </c>
      <c r="AG96" s="1" t="s">
        <v>51</v>
      </c>
      <c r="AH96" s="1">
        <v>0.779952362305503</v>
      </c>
      <c r="AI96" s="1">
        <v>0.807095677921463</v>
      </c>
      <c r="AJ96" s="1">
        <v>0.824719382640394</v>
      </c>
      <c r="AK96" s="1">
        <v>0.810773078940006</v>
      </c>
      <c r="AL96" s="1">
        <v>0.81644524382578</v>
      </c>
      <c r="AM96" s="1">
        <v>0.254008192191141</v>
      </c>
      <c r="AN96" s="1">
        <v>0.598578780541193</v>
      </c>
      <c r="AO96" s="1">
        <v>85</v>
      </c>
    </row>
    <row r="97" s="1" customFormat="1" spans="1:41">
      <c r="A97" s="1" t="s">
        <v>402</v>
      </c>
      <c r="B97" s="1" t="s">
        <v>403</v>
      </c>
      <c r="C97" s="1">
        <v>317.696998</v>
      </c>
      <c r="D97" s="1" t="s">
        <v>404</v>
      </c>
      <c r="E97" s="1" t="s">
        <v>405</v>
      </c>
      <c r="F97" s="1" t="s">
        <v>45</v>
      </c>
      <c r="G97" s="1" t="s">
        <v>46</v>
      </c>
      <c r="H97" s="1">
        <v>8</v>
      </c>
      <c r="I97" s="1">
        <v>64</v>
      </c>
      <c r="J97" s="1">
        <v>63</v>
      </c>
      <c r="K97" s="1">
        <v>98.4375</v>
      </c>
      <c r="L97" s="1">
        <v>36</v>
      </c>
      <c r="M97" s="1">
        <v>56.25</v>
      </c>
      <c r="N97" s="1">
        <v>36</v>
      </c>
      <c r="O97" s="1">
        <v>56.25</v>
      </c>
      <c r="P97" s="1">
        <v>-7.16141666666667</v>
      </c>
      <c r="Q97" s="1">
        <f t="shared" si="2"/>
        <v>-257.811</v>
      </c>
      <c r="R97" s="1">
        <v>-6.973</v>
      </c>
      <c r="S97" s="1">
        <v>-10.185</v>
      </c>
      <c r="T97" s="1">
        <v>-5.294</v>
      </c>
      <c r="U97" s="1">
        <v>-4.47836111111111</v>
      </c>
      <c r="V97" s="1">
        <v>-4.806</v>
      </c>
      <c r="W97" s="1">
        <v>-5.50791666666667</v>
      </c>
      <c r="X97" s="1">
        <v>-5.357</v>
      </c>
      <c r="Y97" s="1">
        <v>0.40531397664101</v>
      </c>
      <c r="Z97" s="1">
        <v>0.439459233668868</v>
      </c>
      <c r="AA97" s="1">
        <v>0.700793650793651</v>
      </c>
      <c r="AB97" s="1">
        <v>0.67</v>
      </c>
      <c r="AC97" s="1">
        <v>0.18123802441955</v>
      </c>
      <c r="AD97" s="1">
        <v>0.167043232735423</v>
      </c>
      <c r="AE97" s="1">
        <v>0.765508249499937</v>
      </c>
      <c r="AF97" s="1">
        <v>0.808298603855004</v>
      </c>
      <c r="AG97" s="1" t="s">
        <v>51</v>
      </c>
      <c r="AH97" s="1">
        <v>0.803885173672564</v>
      </c>
      <c r="AI97" s="1">
        <v>0.821566407314487</v>
      </c>
      <c r="AJ97" s="1" t="s">
        <v>51</v>
      </c>
      <c r="AK97" s="1">
        <v>0.815014290674208</v>
      </c>
      <c r="AL97" s="1">
        <v>0.822525841864674</v>
      </c>
      <c r="AM97" s="1">
        <v>0.412831127898131</v>
      </c>
      <c r="AN97" s="1">
        <v>0.678383312764</v>
      </c>
      <c r="AO97" s="1">
        <v>99</v>
      </c>
    </row>
    <row r="98" s="1" customFormat="1" spans="1:41">
      <c r="A98" s="1" t="s">
        <v>406</v>
      </c>
      <c r="B98" s="1" t="s">
        <v>407</v>
      </c>
      <c r="C98" s="1">
        <v>1307.178301</v>
      </c>
      <c r="D98" s="1" t="s">
        <v>408</v>
      </c>
      <c r="E98" s="1" t="s">
        <v>409</v>
      </c>
      <c r="F98" s="1" t="s">
        <v>45</v>
      </c>
      <c r="G98" s="1" t="s">
        <v>46</v>
      </c>
      <c r="H98" s="1">
        <v>8</v>
      </c>
      <c r="I98" s="1">
        <v>64</v>
      </c>
      <c r="J98" s="1">
        <v>61</v>
      </c>
      <c r="K98" s="1">
        <v>95.3125</v>
      </c>
      <c r="L98" s="1">
        <v>37</v>
      </c>
      <c r="M98" s="1">
        <v>57.8125</v>
      </c>
      <c r="N98" s="1">
        <v>37</v>
      </c>
      <c r="O98" s="1">
        <v>57.8125</v>
      </c>
      <c r="P98" s="1">
        <v>-9.56643243243243</v>
      </c>
      <c r="Q98" s="1">
        <f t="shared" si="2"/>
        <v>-353.958</v>
      </c>
      <c r="R98" s="1">
        <v>-9.012</v>
      </c>
      <c r="S98" s="1">
        <v>-13.585</v>
      </c>
      <c r="T98" s="1">
        <v>-6.537</v>
      </c>
      <c r="U98" s="1">
        <v>-7.18845945945946</v>
      </c>
      <c r="V98" s="1">
        <v>-6.691</v>
      </c>
      <c r="W98" s="1">
        <v>-7.51645945945946</v>
      </c>
      <c r="X98" s="1">
        <v>-7.119</v>
      </c>
      <c r="Y98" s="1">
        <v>0.103776224114713</v>
      </c>
      <c r="Z98" s="1">
        <v>0.0895343343724811</v>
      </c>
      <c r="AA98" s="1">
        <v>0.515245901639344</v>
      </c>
      <c r="AB98" s="1">
        <v>0.49</v>
      </c>
      <c r="AC98" s="1">
        <v>0.225325190050022</v>
      </c>
      <c r="AD98" s="1">
        <v>0.216133778282015</v>
      </c>
      <c r="AE98" s="1">
        <v>0.716485008911375</v>
      </c>
      <c r="AF98" s="1">
        <v>0.789305211801133</v>
      </c>
      <c r="AG98" s="1">
        <v>0.825783681675248</v>
      </c>
      <c r="AH98" s="1">
        <v>0.776208788487327</v>
      </c>
      <c r="AI98" s="1">
        <v>0.807842243333507</v>
      </c>
      <c r="AJ98" s="1">
        <v>0.823331169535678</v>
      </c>
      <c r="AK98" s="1">
        <v>0.800548665405785</v>
      </c>
      <c r="AL98" s="1">
        <v>0.827023904483308</v>
      </c>
      <c r="AM98" s="1">
        <v>0.291526481445208</v>
      </c>
      <c r="AN98" s="1">
        <v>0.586258111850784</v>
      </c>
      <c r="AO98" s="1">
        <v>92</v>
      </c>
    </row>
    <row r="99" s="1" customFormat="1" spans="1:41">
      <c r="A99" s="1" t="s">
        <v>410</v>
      </c>
      <c r="B99" s="1" t="s">
        <v>411</v>
      </c>
      <c r="C99" s="1">
        <v>567.847577</v>
      </c>
      <c r="D99" s="1" t="s">
        <v>412</v>
      </c>
      <c r="E99" s="1" t="s">
        <v>413</v>
      </c>
      <c r="F99" s="1" t="s">
        <v>45</v>
      </c>
      <c r="G99" s="1" t="s">
        <v>46</v>
      </c>
      <c r="H99" s="1">
        <v>8</v>
      </c>
      <c r="I99" s="1">
        <v>64</v>
      </c>
      <c r="J99" s="1">
        <v>63</v>
      </c>
      <c r="K99" s="1">
        <v>98.4375</v>
      </c>
      <c r="L99" s="1">
        <v>11</v>
      </c>
      <c r="M99" s="1">
        <v>17.1875</v>
      </c>
      <c r="N99" s="1">
        <v>11</v>
      </c>
      <c r="O99" s="1">
        <v>17.1875</v>
      </c>
      <c r="P99" s="1">
        <v>-8.55781818181818</v>
      </c>
      <c r="Q99" s="1">
        <f>PRODUCT(N99,P99)</f>
        <v>-94.136</v>
      </c>
      <c r="R99" s="1">
        <v>-8.574</v>
      </c>
      <c r="S99" s="1">
        <v>-9.833</v>
      </c>
      <c r="T99" s="1">
        <v>-7.671</v>
      </c>
      <c r="U99" s="1">
        <v>-6.09990909090909</v>
      </c>
      <c r="V99" s="1">
        <v>-6.097</v>
      </c>
      <c r="W99" s="1">
        <v>-6.36072727272727</v>
      </c>
      <c r="X99" s="1">
        <v>-6.331</v>
      </c>
      <c r="Y99" s="1">
        <v>0.207319355551349</v>
      </c>
      <c r="Z99" s="1">
        <v>0.189890935046218</v>
      </c>
      <c r="AA99" s="1">
        <v>0.647301587301587</v>
      </c>
      <c r="AB99" s="1">
        <v>0.65</v>
      </c>
      <c r="AC99" s="1">
        <v>0.256084500028602</v>
      </c>
      <c r="AD99" s="1">
        <v>0.25112494101761</v>
      </c>
      <c r="AE99" s="1">
        <v>0.745445052464704</v>
      </c>
      <c r="AF99" s="1">
        <v>0.800189100758842</v>
      </c>
      <c r="AG99" s="1" t="s">
        <v>51</v>
      </c>
      <c r="AH99" s="1">
        <v>0.806196734103719</v>
      </c>
      <c r="AI99" s="1" t="s">
        <v>51</v>
      </c>
      <c r="AJ99" s="1" t="s">
        <v>51</v>
      </c>
      <c r="AK99" s="1">
        <v>0.811621199647125</v>
      </c>
      <c r="AL99" s="1">
        <v>0.827823836699796</v>
      </c>
      <c r="AM99" s="1">
        <v>0.301007929584556</v>
      </c>
      <c r="AN99" s="1">
        <v>0.625335592535984</v>
      </c>
      <c r="AO99" s="1">
        <v>93</v>
      </c>
    </row>
    <row r="100" s="1" customFormat="1" spans="1:41">
      <c r="A100" s="1" t="s">
        <v>414</v>
      </c>
      <c r="B100" s="1" t="s">
        <v>415</v>
      </c>
      <c r="C100" s="1">
        <v>1635.289904</v>
      </c>
      <c r="D100" s="1" t="s">
        <v>416</v>
      </c>
      <c r="E100" s="1" t="s">
        <v>417</v>
      </c>
      <c r="F100" s="1" t="s">
        <v>45</v>
      </c>
      <c r="G100" s="1" t="s">
        <v>46</v>
      </c>
      <c r="H100" s="1">
        <v>8</v>
      </c>
      <c r="I100" s="1">
        <v>64</v>
      </c>
      <c r="J100" s="1">
        <v>63</v>
      </c>
      <c r="K100" s="1">
        <v>98.4375</v>
      </c>
      <c r="L100" s="1">
        <v>34</v>
      </c>
      <c r="M100" s="1">
        <v>53.125</v>
      </c>
      <c r="N100" s="1">
        <v>34</v>
      </c>
      <c r="O100" s="1">
        <v>53.125</v>
      </c>
      <c r="P100" s="1">
        <v>-8.02805882352941</v>
      </c>
      <c r="Q100" s="1">
        <f>PRODUCT(N100,P100)</f>
        <v>-272.954</v>
      </c>
      <c r="R100" s="1">
        <v>-7.851</v>
      </c>
      <c r="S100" s="1">
        <v>-11.559</v>
      </c>
      <c r="T100" s="1">
        <v>-6.427</v>
      </c>
      <c r="U100" s="1">
        <v>-6.34017647058824</v>
      </c>
      <c r="V100" s="1">
        <v>-6.3365</v>
      </c>
      <c r="W100" s="1">
        <v>-6.57341176470588</v>
      </c>
      <c r="X100" s="1">
        <v>-6.4615</v>
      </c>
      <c r="Y100" s="1">
        <v>0.0830117648870899</v>
      </c>
      <c r="Z100" s="1">
        <v>0.0689675758271743</v>
      </c>
      <c r="AA100" s="1">
        <v>0.588571428571429</v>
      </c>
      <c r="AB100" s="1">
        <v>0.59</v>
      </c>
      <c r="AC100" s="1">
        <v>0.17432385543821</v>
      </c>
      <c r="AD100" s="1">
        <v>0.173632670473154</v>
      </c>
      <c r="AE100" s="1">
        <v>0.711042491898433</v>
      </c>
      <c r="AF100" s="1">
        <v>0.793185438217244</v>
      </c>
      <c r="AG100" s="1">
        <v>0.796825245261609</v>
      </c>
      <c r="AH100" s="1">
        <v>0.784448783893381</v>
      </c>
      <c r="AI100" s="1">
        <v>0.817699988743298</v>
      </c>
      <c r="AJ100" s="1" t="s">
        <v>51</v>
      </c>
      <c r="AK100" s="1">
        <v>0.795124439708953</v>
      </c>
      <c r="AL100" s="1">
        <v>0.805223347085223</v>
      </c>
      <c r="AM100" s="1">
        <v>0.288336268705409</v>
      </c>
      <c r="AN100" s="1">
        <v>0.57932979570987</v>
      </c>
      <c r="AO100" s="1">
        <v>83</v>
      </c>
    </row>
    <row r="101" s="1" customFormat="1" spans="1:41">
      <c r="A101" s="1" t="s">
        <v>418</v>
      </c>
      <c r="B101" s="1" t="s">
        <v>419</v>
      </c>
      <c r="C101" s="1">
        <v>1539.117095</v>
      </c>
      <c r="D101" s="1" t="s">
        <v>420</v>
      </c>
      <c r="E101" s="1" t="s">
        <v>421</v>
      </c>
      <c r="F101" s="1" t="s">
        <v>45</v>
      </c>
      <c r="G101" s="1" t="s">
        <v>46</v>
      </c>
      <c r="H101" s="1">
        <v>8</v>
      </c>
      <c r="I101" s="1">
        <v>64</v>
      </c>
      <c r="J101" s="1">
        <v>62</v>
      </c>
      <c r="K101" s="1">
        <v>96.875</v>
      </c>
      <c r="L101" s="1">
        <v>37</v>
      </c>
      <c r="M101" s="1">
        <v>57.8125</v>
      </c>
      <c r="N101" s="1">
        <v>37</v>
      </c>
      <c r="O101" s="1">
        <v>57.8125</v>
      </c>
      <c r="P101" s="1">
        <v>-9.89802702702703</v>
      </c>
      <c r="Q101" s="1">
        <f>PRODUCT(N101,P101)</f>
        <v>-366.227</v>
      </c>
      <c r="R101" s="1">
        <v>-9.471</v>
      </c>
      <c r="S101" s="1">
        <v>-15.179</v>
      </c>
      <c r="T101" s="1">
        <v>-7.238</v>
      </c>
      <c r="U101" s="1">
        <v>-8.0387027027027</v>
      </c>
      <c r="V101" s="1">
        <v>-7.549</v>
      </c>
      <c r="W101" s="1">
        <v>-8.24224324324324</v>
      </c>
      <c r="X101" s="1">
        <v>-7.766</v>
      </c>
      <c r="Y101" s="1">
        <v>0.0814733729617704</v>
      </c>
      <c r="Z101" s="1">
        <v>0.0688906537023472</v>
      </c>
      <c r="AA101" s="1">
        <v>0.56241935483871</v>
      </c>
      <c r="AB101" s="1">
        <v>0.565</v>
      </c>
      <c r="AC101" s="1">
        <v>0.201509572975031</v>
      </c>
      <c r="AD101" s="1">
        <v>0.202620562941632</v>
      </c>
      <c r="AE101" s="1">
        <v>0.717808032996922</v>
      </c>
      <c r="AF101" s="1">
        <v>0.792476111769194</v>
      </c>
      <c r="AG101" s="1">
        <v>0.80871680740736</v>
      </c>
      <c r="AH101" s="1">
        <v>0.78477324488752</v>
      </c>
      <c r="AI101" s="1">
        <v>0.816187440239867</v>
      </c>
      <c r="AJ101" s="1">
        <v>0.831547147476612</v>
      </c>
      <c r="AK101" s="1">
        <v>0.805654116086231</v>
      </c>
      <c r="AL101" s="1">
        <v>0.814557335817752</v>
      </c>
      <c r="AM101" s="1">
        <v>0.273895922451297</v>
      </c>
      <c r="AN101" s="1">
        <v>0.599828693754475</v>
      </c>
      <c r="AO101" s="1">
        <v>81</v>
      </c>
    </row>
    <row r="102" spans="1:41">
      <c r="N102">
        <f>SUM(N2:N101)</f>
        <v>3108</v>
      </c>
      <c r="Q102">
        <f>SUM(Q2:Q101)</f>
        <v>-22626.305</v>
      </c>
    </row>
    <row r="103" spans="1:41">
      <c r="Q103">
        <v>-7.27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叶行健</cp:lastModifiedBy>
  <dcterms:created xsi:type="dcterms:W3CDTF">2023-05-12T11:15:00Z</dcterms:created>
  <dcterms:modified xsi:type="dcterms:W3CDTF">2025-12-13T04:41:45Z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86C9D15C5D7F4EBBBF52B96A3B362966_12</vt:lpwstr>
  </property>
  <property fmtid="{D5CDD505-2E9C-101B-9397-08002B2CF9AE}" pid="4" name="CalculationRule">
    <vt:i4>0</vt:i4>
  </property>
</Properties>
</file>