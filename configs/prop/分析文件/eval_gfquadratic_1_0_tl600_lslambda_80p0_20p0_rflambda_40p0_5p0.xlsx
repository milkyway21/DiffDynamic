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<sst xmlns="http://schemas.openxmlformats.org/spreadsheetml/2006/main" count="673" uniqueCount="406">
  <si>
    <t>评估开始时间</t>
  </si>
  <si>
    <t>评估结束时间</t>
  </si>
  <si>
    <t>评估耗时(秒)</t>
  </si>
  <si>
    <t>PT文件</t>
  </si>
  <si>
    <t>配体文件</t>
  </si>
  <si>
    <t>蛋白根目录</t>
  </si>
  <si>
    <t>原子编码模式</t>
  </si>
  <si>
    <t>对接强度</t>
  </si>
  <si>
    <t>总样本数</t>
  </si>
  <si>
    <t>重建成功数</t>
  </si>
  <si>
    <t>重建成功率(%)</t>
  </si>
  <si>
    <t>评估成功数</t>
  </si>
  <si>
    <t>评估成功率(%)</t>
  </si>
  <si>
    <t>完整分子数</t>
  </si>
  <si>
    <t>完整分子率(%)</t>
  </si>
  <si>
    <t>Vina_Dock_均值</t>
  </si>
  <si>
    <t>Vina_Dock_中位数</t>
  </si>
  <si>
    <t>Vina_Dock_最小值</t>
  </si>
  <si>
    <t>Vina_Dock_最大值</t>
  </si>
  <si>
    <t>Vina_ScoreOnly_均值</t>
  </si>
  <si>
    <t>Vina_ScoreOnly_中位数</t>
  </si>
  <si>
    <t>Vina_Minimize_均值</t>
  </si>
  <si>
    <t>Vina_Minimize_中位数</t>
  </si>
  <si>
    <t>QED_均值</t>
  </si>
  <si>
    <t>QED_中位数</t>
  </si>
  <si>
    <t>SA_均值</t>
  </si>
  <si>
    <t>SA_中位数</t>
  </si>
  <si>
    <t>原子类型分布JSD_均值</t>
  </si>
  <si>
    <t>原子类型分布JSD_中位数</t>
  </si>
  <si>
    <t>键长JSD_JSD_6-6|1_均值</t>
  </si>
  <si>
    <t>键长JSD_JSD_6-6|2_均值</t>
  </si>
  <si>
    <t>键长JSD_JSD_6-6|4_均值</t>
  </si>
  <si>
    <t>键长JSD_JSD_6-7|1_均值</t>
  </si>
  <si>
    <t>键长JSD_JSD_6-7|2_均值</t>
  </si>
  <si>
    <t>键长JSD_JSD_6-7|4_均值</t>
  </si>
  <si>
    <t>键长JSD_JSD_6-8|1_均值</t>
  </si>
  <si>
    <t>键长JSD_JSD_6-8|2_均值</t>
  </si>
  <si>
    <t>原子对距离JSD_JSD_All_12A_均值</t>
  </si>
  <si>
    <t>原子对距离JSD_JSD_CC_2A_均值</t>
  </si>
  <si>
    <t>数据ID</t>
  </si>
  <si>
    <t>2025-12-12 00:03:03</t>
  </si>
  <si>
    <t>2025-12-12 00:09:44</t>
  </si>
  <si>
    <t>result_14_20251211_234827.pt</t>
  </si>
  <si>
    <t>2rhy_A_rec_2rhy_mlz_lig_tt_min_0.sdf</t>
  </si>
  <si>
    <t>data/crossdocked_v1.1_rmsd1.0_pocket10</t>
  </si>
  <si>
    <t>add_aromatic</t>
  </si>
  <si>
    <t>2025-12-12 00:13:47</t>
  </si>
  <si>
    <t>result_16_20251211_234537.pt</t>
  </si>
  <si>
    <t>4g3d_B_rec_4idv_13v_lig_tt_min_0.sdf</t>
  </si>
  <si>
    <t/>
  </si>
  <si>
    <t>2025-12-12 00:20:37</t>
  </si>
  <si>
    <t>result_20_20251211_234440.pt</t>
  </si>
  <si>
    <t>1dxo_C_rec_1gg5_e09_lig_tt_min_0.sdf</t>
  </si>
  <si>
    <t>2025-12-12 00:36:53</t>
  </si>
  <si>
    <t>result_22_20251211_234639.pt</t>
  </si>
  <si>
    <t>5q0k_A_rec_5q0q_9ld_lig_tt_docked_0.sdf</t>
  </si>
  <si>
    <t>2025-12-12 00:27:51</t>
  </si>
  <si>
    <t>result_4_20251211_234835.pt</t>
  </si>
  <si>
    <t>2v3r_A_rec_1dy4_snp_lig_tt_docked_1.sdf</t>
  </si>
  <si>
    <t>2025-12-12 00:09:39</t>
  </si>
  <si>
    <t>result_5_20251211_234441.pt</t>
  </si>
  <si>
    <t>4rn0_B_rec_4rn1_l8g_lig_tt_min_0.sdf</t>
  </si>
  <si>
    <t>2025-12-12 00:37:26</t>
  </si>
  <si>
    <t>result_7_20251211_234635.pt</t>
  </si>
  <si>
    <t>3daf_A_rec_3daf_feg_lig_tt_docked_0.sdf</t>
  </si>
  <si>
    <t>2025-12-12 00:12:46</t>
  </si>
  <si>
    <t>result_8_20251211_234734.pt</t>
  </si>
  <si>
    <t>1a2g_A_rec_4jmv_1ly_lig_tt_min_0.sdf</t>
  </si>
  <si>
    <t>2025-12-12 00:38:46</t>
  </si>
  <si>
    <t>result_9_20251211_234835.pt</t>
  </si>
  <si>
    <t>5w2g_A_rec_5w2i_adp_lig_tt_min_0.sdf</t>
  </si>
  <si>
    <t>2025-12-12 00:03:04</t>
  </si>
  <si>
    <t>2025-12-12 00:19:21</t>
  </si>
  <si>
    <t>result_0_20251211_234444.pt</t>
  </si>
  <si>
    <t>2z3h_A_rec_1wn6_bst_lig_tt_docked_3.sdf</t>
  </si>
  <si>
    <t>2025-12-12 00:06:54</t>
  </si>
  <si>
    <t>result_1_20251211_234544.pt</t>
  </si>
  <si>
    <t>4aaw_A_rec_4ac3_r83_lig_tt_min_0.sdf</t>
  </si>
  <si>
    <t>2025-12-12 00:27:26</t>
  </si>
  <si>
    <t>result_10_20251211_234443.pt</t>
  </si>
  <si>
    <t>3dzh_A_rec_3u4i_cvr_lig_tt_docked_0.sdf</t>
  </si>
  <si>
    <t>2025-12-12 00:19:25</t>
  </si>
  <si>
    <t>result_11_20251211_234540.pt</t>
  </si>
  <si>
    <t>3g51_A_rec_3g51_anp_lig_tt_min_0.sdf</t>
  </si>
  <si>
    <t>2025-12-12 00:21:56</t>
  </si>
  <si>
    <t>result_12_20251211_234636.pt</t>
  </si>
  <si>
    <t>1coy_A_rec_1coy_and_lig_tt_docked_0.sdf</t>
  </si>
  <si>
    <t>2025-12-12 00:23:27</t>
  </si>
  <si>
    <t>result_13_20251211_234732.pt</t>
  </si>
  <si>
    <t>2jjg_A_rec_2jjg_plp_lig_tt_min_0.sdf</t>
  </si>
  <si>
    <t>2025-12-12 00:17:13</t>
  </si>
  <si>
    <t>result_15_20251211_234441.pt</t>
  </si>
  <si>
    <t>2pqw_A_rec_2rhy_mlz_lig_tt_min_0.sdf</t>
  </si>
  <si>
    <t>2025-12-12 00:17:05</t>
  </si>
  <si>
    <t>result_17_20251211_234633.pt</t>
  </si>
  <si>
    <t>5bur_A_rec_5x8f_amp_lig_tt_docked_7.sdf</t>
  </si>
  <si>
    <t>2025-12-12 00:15:29</t>
  </si>
  <si>
    <t>result_18_20251211_234730.pt</t>
  </si>
  <si>
    <t>3gs6_A_rec_2oxn_oan_lig_tt_docked_4.sdf</t>
  </si>
  <si>
    <t>2025-12-12 00:27:56</t>
  </si>
  <si>
    <t>result_19_20251211_234830.pt</t>
  </si>
  <si>
    <t>1r1h_A_rec_1r1h_bir_lig_tt_docked_1.sdf</t>
  </si>
  <si>
    <t>2025-12-12 00:21:09</t>
  </si>
  <si>
    <t>result_2_20251211_234641.pt</t>
  </si>
  <si>
    <t>4yhj_A_rec_4yhj_an2_lig_tt_min_0.sdf</t>
  </si>
  <si>
    <t>2025-12-12 00:22:40</t>
  </si>
  <si>
    <t>result_21_20251211_234540.pt</t>
  </si>
  <si>
    <t>1gg5_A_rec_1kbo_340_lig_tt_min_0.sdf</t>
  </si>
  <si>
    <t>2025-12-12 00:12:32</t>
  </si>
  <si>
    <t>result_23_20251211_234735.pt</t>
  </si>
  <si>
    <t>5b08_A_rec_5b09_4mx_lig_tt_min_0.sdf</t>
  </si>
  <si>
    <t>2025-12-12 00:12:00</t>
  </si>
  <si>
    <t>result_24_20251211_234834.pt</t>
  </si>
  <si>
    <t>2azy_A_rec_2azy_chd_lig_tt_docked_0.sdf</t>
  </si>
  <si>
    <t>2025-12-12 00:12:01</t>
  </si>
  <si>
    <t>result_3_20251211_234739.pt</t>
  </si>
  <si>
    <t>14gs_A_rec_20gs_cbd_lig_tt_min_0.sdf</t>
  </si>
  <si>
    <t>2025-12-12 00:22:43</t>
  </si>
  <si>
    <t>result_6_20251211_234537.pt</t>
  </si>
  <si>
    <t>1fmc_B_rec_1fmc_cho_lig_tt_docked_1.sdf</t>
  </si>
  <si>
    <t>2025-12-12 00:07:05</t>
  </si>
  <si>
    <t>2025-12-12 00:24:02</t>
  </si>
  <si>
    <t>result_25_20251211_234442.pt</t>
  </si>
  <si>
    <t>5i0b_A_rec_5vef_m77_lig_tt_min_0.sdf</t>
  </si>
  <si>
    <t>2025-12-12 00:09:48</t>
  </si>
  <si>
    <t>2025-12-12 00:37:54</t>
  </si>
  <si>
    <t>result_26_20251211_234540.pt</t>
  </si>
  <si>
    <t>1phk_A_rec_1phk_atp_lig_tt_min_0.sdf</t>
  </si>
  <si>
    <t>2025-12-12 00:10:56</t>
  </si>
  <si>
    <t>2025-12-12 00:38:49</t>
  </si>
  <si>
    <t>result_27_20251211_234641.pt</t>
  </si>
  <si>
    <t>4keu_A_rec_4ket_pg4_lig_tt_min_0.sdf</t>
  </si>
  <si>
    <t>2025-12-12 00:12:09</t>
  </si>
  <si>
    <t>2025-12-12 00:24:17</t>
  </si>
  <si>
    <t>result_28_20251211_234739.pt</t>
  </si>
  <si>
    <t>4q8b_B_rec_4q8b_sxx_lig_tt_min_0.sdf</t>
  </si>
  <si>
    <t>2025-12-12 00:12:11</t>
  </si>
  <si>
    <t>2025-12-12 00:22:47</t>
  </si>
  <si>
    <t>result_29_20251211_234834.pt</t>
  </si>
  <si>
    <t>1djy_A_rec_1djz_ip2_lig_tt_min_0.sdf</t>
  </si>
  <si>
    <t>2025-12-12 00:12:41</t>
  </si>
  <si>
    <t>2025-12-12 00:28:13</t>
  </si>
  <si>
    <t>result_30_20251211_234926.pt</t>
  </si>
  <si>
    <t>5l1v_A_rec_5l1v_7pf_lig_tt_docked_0.sdf</t>
  </si>
  <si>
    <t>2025-12-12 00:12:55</t>
  </si>
  <si>
    <t>2025-12-12 00:40:12</t>
  </si>
  <si>
    <t>result_31_20251211_235026.pt</t>
  </si>
  <si>
    <t>4zfa_A_rec_1smj_pam_lig_tt_min_0.sdf</t>
  </si>
  <si>
    <t>2025-12-12 00:13:56</t>
  </si>
  <si>
    <t>2025-12-12 00:50:23</t>
  </si>
  <si>
    <t>result_32_20251211_235124.pt</t>
  </si>
  <si>
    <t>2rma_A_rec_3rdd_ea4_lig_tt_docked_0.sdf</t>
  </si>
  <si>
    <t>2025-12-12 00:15:37</t>
  </si>
  <si>
    <t>2025-12-12 00:35:45</t>
  </si>
  <si>
    <t>result_33_20251211_235224.pt</t>
  </si>
  <si>
    <t>3b6h_A_rec_3b6h_mxd_lig_tt_min_0.sdf</t>
  </si>
  <si>
    <t>2025-12-12 00:17:14</t>
  </si>
  <si>
    <t>2025-12-12 00:24:20</t>
  </si>
  <si>
    <t>result_34_20251211_235318.pt</t>
  </si>
  <si>
    <t>2zen_A_rec_2afx_1bn_lig_tt_docked_7.sdf</t>
  </si>
  <si>
    <t>2025-12-12 00:17:22</t>
  </si>
  <si>
    <t>2025-12-12 00:27:39</t>
  </si>
  <si>
    <t>result_35_20251211_234930.pt</t>
  </si>
  <si>
    <t>4p6p_A_rec_4p77_5rp_lig_tt_docked_0.sdf</t>
  </si>
  <si>
    <t>2025-12-12 00:19:31</t>
  </si>
  <si>
    <t>2025-12-12 00:54:47</t>
  </si>
  <si>
    <t>result_36_20251211_235029.pt</t>
  </si>
  <si>
    <t>3u5y_B_rec_3u57_dh8_lig_tt_min_0.sdf</t>
  </si>
  <si>
    <t>2025-12-12 00:19:33</t>
  </si>
  <si>
    <t>2025-12-12 00:43:31</t>
  </si>
  <si>
    <t>result_37_20251211_235127.pt</t>
  </si>
  <si>
    <t>4f1m_A_rec_4f1m_acp_lig_tt_min_0.sdf</t>
  </si>
  <si>
    <t>2025-12-12 00:20:47</t>
  </si>
  <si>
    <t>2025-12-12 00:31:56</t>
  </si>
  <si>
    <t>result_38_20251211_235222.pt</t>
  </si>
  <si>
    <t>4tqr_A_rec_2xca_doc_lig_tt_min_0.sdf</t>
  </si>
  <si>
    <t>2025-12-12 00:21:16</t>
  </si>
  <si>
    <t>2025-12-12 00:40:04</t>
  </si>
  <si>
    <t>result_39_20251211_235318.pt</t>
  </si>
  <si>
    <t>4lfu_A_rec_4y13_480_lig_tt_min_0.sdf</t>
  </si>
  <si>
    <t>2025-12-12 00:22:05</t>
  </si>
  <si>
    <t>2025-12-12 00:34:35</t>
  </si>
  <si>
    <t>result_40_20251211_234931.pt</t>
  </si>
  <si>
    <t>3jyh_A_rec_3n0t_opy_lig_tt_min_0.sdf</t>
  </si>
  <si>
    <t>2025-12-12 01:02:58</t>
  </si>
  <si>
    <t>result_41_20251211_235032.pt</t>
  </si>
  <si>
    <t>4iwq_A_rec_4jlc_su6_lig_tt_min_0.sdf</t>
  </si>
  <si>
    <t>2025-12-12 00:22:56</t>
  </si>
  <si>
    <t>2025-12-12 00:33:25</t>
  </si>
  <si>
    <t>result_42_20251211_235135.pt</t>
  </si>
  <si>
    <t>1l3l_A_rec_1l3l_lae_lig_tt_min_0.sdf</t>
  </si>
  <si>
    <t>2025-12-12 00:23:36</t>
  </si>
  <si>
    <t>2025-12-12 00:30:02</t>
  </si>
  <si>
    <t>result_43_20251211_235230.pt</t>
  </si>
  <si>
    <t>5ngz_A_rec_5ngz_2bg_lig_tt_min_0.sdf</t>
  </si>
  <si>
    <t>2025-12-12 00:23:51</t>
  </si>
  <si>
    <t>2025-12-12 00:57:51</t>
  </si>
  <si>
    <t>result_44_20251211_235328.pt</t>
  </si>
  <si>
    <t>1e8h_A_rec_1e8h_adp_lig_tt_min_0.sdf</t>
  </si>
  <si>
    <t>2025-12-12 00:24:12</t>
  </si>
  <si>
    <t>2025-12-12 00:41:02</t>
  </si>
  <si>
    <t>result_45_20251211_234935.pt</t>
  </si>
  <si>
    <t>2e24_A_rec_1j0n_ceg_lig_tt_docked_14.sdf</t>
  </si>
  <si>
    <t>2025-12-12 00:24:24</t>
  </si>
  <si>
    <t>2025-12-12 00:32:32</t>
  </si>
  <si>
    <t>result_46_20251211_235030.pt</t>
  </si>
  <si>
    <t>2hcj_B_rec_2hcj_gdp_lig_tt_docked_0.sdf</t>
  </si>
  <si>
    <t>2025-12-12 00:24:27</t>
  </si>
  <si>
    <t>2025-12-12 00:31:50</t>
  </si>
  <si>
    <t>result_47_20251211_235126.pt</t>
  </si>
  <si>
    <t>3kc1_A_rec_3kc1_2t6_lig_tt_min_0.sdf</t>
  </si>
  <si>
    <t>2025-12-12 00:40:57</t>
  </si>
  <si>
    <t>result_48_20251211_235226.pt</t>
  </si>
  <si>
    <t>1d7j_A_rec_1tco_fk5_lig_tt_docked_0.sdf</t>
  </si>
  <si>
    <t>2025-12-12 00:27:48</t>
  </si>
  <si>
    <t>2025-12-12 00:39:58</t>
  </si>
  <si>
    <t>result_49_20251211_235327.pt</t>
  </si>
  <si>
    <t>4ja8_B_rec_4ja8_1k9_lig_tt_docked_0.sdf</t>
  </si>
  <si>
    <t>2025-12-12 00:28:00</t>
  </si>
  <si>
    <t>2025-12-12 00:38:48</t>
  </si>
  <si>
    <t>result_50_20251211_234930.pt</t>
  </si>
  <si>
    <t>4u5s_A_rec_4u54_3c5_lig_tt_min_0.sdf</t>
  </si>
  <si>
    <t>2025-12-12 00:28:22</t>
  </si>
  <si>
    <t>2025-12-12 01:02:27</t>
  </si>
  <si>
    <t>result_51_20251211_235027.pt</t>
  </si>
  <si>
    <t>4iiy_A_rec_3tle_gsu_lig_tt_docked_12.sdf</t>
  </si>
  <si>
    <t>2025-12-12 00:29:05</t>
  </si>
  <si>
    <t>2025-12-12 00:56:29</t>
  </si>
  <si>
    <t>result_52_20251211_235123.pt</t>
  </si>
  <si>
    <t>3v4t_A_rec_4e7f_udp_lig_tt_min_0.sdf</t>
  </si>
  <si>
    <t>2025-12-12 00:30:17</t>
  </si>
  <si>
    <t>2025-12-12 00:57:55</t>
  </si>
  <si>
    <t>result_53_20251211_235219.pt</t>
  </si>
  <si>
    <t>3tym_A_rec_3n5v_xfh_lig_tt_min_0.sdf</t>
  </si>
  <si>
    <t>2025-12-12 00:32:01</t>
  </si>
  <si>
    <t>2025-12-12 01:01:36</t>
  </si>
  <si>
    <t>result_54_20251211_235316.pt</t>
  </si>
  <si>
    <t>4d7o_A_rec_3n5z_xfm_lig_tt_min_0.sdf</t>
  </si>
  <si>
    <t>2025-12-12 00:32:05</t>
  </si>
  <si>
    <t>2025-12-12 00:42:36</t>
  </si>
  <si>
    <t>result_55_20251211_234932.pt</t>
  </si>
  <si>
    <t>3ej8_A_rec_2nsi_itu_lig_tt_min_0.sdf</t>
  </si>
  <si>
    <t>2025-12-12 00:32:45</t>
  </si>
  <si>
    <t>2025-12-12 00:41:26</t>
  </si>
  <si>
    <t>result_56_20251211_235028.pt</t>
  </si>
  <si>
    <t>1rs9_A_rec_1dmk_itu_lig_tt_min_0.sdf</t>
  </si>
  <si>
    <t>2025-12-12 00:33:36</t>
  </si>
  <si>
    <t>2025-12-12 00:58:34</t>
  </si>
  <si>
    <t>result_57_20251211_235126.pt</t>
  </si>
  <si>
    <t>4kcq_A_rec_4cwv_hw8_lig_tt_min_0.sdf</t>
  </si>
  <si>
    <t>2025-12-12 00:34:50</t>
  </si>
  <si>
    <t>2025-12-12 00:49:00</t>
  </si>
  <si>
    <t>result_58_20251211_235222.pt</t>
  </si>
  <si>
    <t>3pdh_A_rec_4buz_ocz_lig_tt_min_0.sdf</t>
  </si>
  <si>
    <t>2025-12-12 00:35:58</t>
  </si>
  <si>
    <t>2025-12-12 00:51:38</t>
  </si>
  <si>
    <t>result_59_20251211_235322.pt</t>
  </si>
  <si>
    <t>1umd_B_rec_1umb_tdp_lig_tt_docked_1.sdf</t>
  </si>
  <si>
    <t>2025-12-12 00:37:06</t>
  </si>
  <si>
    <t>2025-12-12 01:21:07</t>
  </si>
  <si>
    <t>result_60_20251211_235416.pt</t>
  </si>
  <si>
    <t>4pxz_A_rec_4pxz_6ad_lig_tt_min_0.sdf</t>
  </si>
  <si>
    <t>2025-12-12 00:37:41</t>
  </si>
  <si>
    <t>2025-12-12 00:42:03</t>
  </si>
  <si>
    <t>result_61_20251211_235512.pt</t>
  </si>
  <si>
    <t>2gns_A_rec_4qer_stl_lig_tt_min_0.sdf</t>
  </si>
  <si>
    <t>2025-12-12 00:38:05</t>
  </si>
  <si>
    <t>2025-12-12 00:56:34</t>
  </si>
  <si>
    <t>result_62_20251211_235620.pt</t>
  </si>
  <si>
    <t>1ai4_A_rec_1ai5_mnp_lig_tt_docked_0.sdf</t>
  </si>
  <si>
    <t>2025-12-12 00:38:57</t>
  </si>
  <si>
    <t>2025-12-12 00:53:52</t>
  </si>
  <si>
    <t>result_63_20251211_235717.pt</t>
  </si>
  <si>
    <t>5mma_A_rec_4ztf_x2p_lig_tt_min_0.sdf</t>
  </si>
  <si>
    <t>2025-12-12 00:49:28</t>
  </si>
  <si>
    <t>result_64_20251211_235815.pt</t>
  </si>
  <si>
    <t>2cy0_A_rec_2d5c_skm_lig_tt_min_0.sdf</t>
  </si>
  <si>
    <t>2025-12-12 00:40:10</t>
  </si>
  <si>
    <t>2025-12-12 00:46:08</t>
  </si>
  <si>
    <t>result_66_20251211_235508.pt</t>
  </si>
  <si>
    <t>2e6d_A_rec_2e6d_fum_lig_tt_min_0.sdf</t>
  </si>
  <si>
    <t>2025-12-12 00:40:14</t>
  </si>
  <si>
    <t>2025-12-12 00:55:27</t>
  </si>
  <si>
    <t>result_67_20251211_235606.pt</t>
  </si>
  <si>
    <t>4rv4_A_rec_4rv4_prp_lig_tt_docked_2.sdf</t>
  </si>
  <si>
    <t>2025-12-12 00:40:21</t>
  </si>
  <si>
    <t>2025-12-12 01:00:11</t>
  </si>
  <si>
    <t>result_68_20251211_235708.pt</t>
  </si>
  <si>
    <t>5d7n_D_rec_4jt9_1ns_lig_tt_min_0.sdf</t>
  </si>
  <si>
    <t>2025-12-12 00:41:05</t>
  </si>
  <si>
    <t>2025-12-12 00:46:50</t>
  </si>
  <si>
    <t>result_69_20251211_235807.pt</t>
  </si>
  <si>
    <t>5mgl_A_rec_5mgl_7mu_lig_tt_min_0.sdf</t>
  </si>
  <si>
    <t>2025-12-12 00:41:35</t>
  </si>
  <si>
    <t>2025-12-12 01:01:52</t>
  </si>
  <si>
    <t>result_70_20251211_235421.pt</t>
  </si>
  <si>
    <t>1h36_A_rec_1o79_r23_lig_tt_docked_5.sdf</t>
  </si>
  <si>
    <t>2025-12-12 00:42:12</t>
  </si>
  <si>
    <t>2025-12-12 00:48:26</t>
  </si>
  <si>
    <t>result_71_20251211_235515.pt</t>
  </si>
  <si>
    <t>4gvd_A_rec_4nxr_ans_lig_tt_min_0.sdf</t>
  </si>
  <si>
    <t>2025-12-12 00:42:13</t>
  </si>
  <si>
    <t>2025-12-12 01:08:39</t>
  </si>
  <si>
    <t>result_72_20251211_235614.pt</t>
  </si>
  <si>
    <t>4tos_A_rec_4tos_355_lig_tt_min_0.sdf</t>
  </si>
  <si>
    <t>2025-12-12 00:42:45</t>
  </si>
  <si>
    <t>2025-12-12 00:51:30</t>
  </si>
  <si>
    <t>result_73_20251211_235716.pt</t>
  </si>
  <si>
    <t>5aeh_A_rec_5aeh_8ir_lig_tt_docked_0.sdf</t>
  </si>
  <si>
    <t>2025-12-12 00:43:39</t>
  </si>
  <si>
    <t>2025-12-12 00:56:26</t>
  </si>
  <si>
    <t>result_74_20251211_235812.pt</t>
  </si>
  <si>
    <t>4h3c_A_rec_5cqj_53q_lig_tt_docked_2.sdf</t>
  </si>
  <si>
    <t>2025-12-12 00:46:23</t>
  </si>
  <si>
    <t>2025-12-12 01:07:56</t>
  </si>
  <si>
    <t>result_75_20251211_235422.pt</t>
  </si>
  <si>
    <t>4rlu_A_rec_4rlu_hcc_lig_tt_min_0.sdf</t>
  </si>
  <si>
    <t>2025-12-12 00:47:00</t>
  </si>
  <si>
    <t>2025-12-12 01:02:28</t>
  </si>
  <si>
    <t>result_76_20251211_235521.pt</t>
  </si>
  <si>
    <t>4xli_B_rec_4xli_1n1_lig_tt_min_0.sdf</t>
  </si>
  <si>
    <t>2025-12-12 00:48:37</t>
  </si>
  <si>
    <t>2025-12-12 00:57:33</t>
  </si>
  <si>
    <t>result_77_20251211_235615.pt</t>
  </si>
  <si>
    <t>3l3n_A_rec_2iux_nxa_lig_tt_docked_2.sdf</t>
  </si>
  <si>
    <t>2025-12-12 00:56:32</t>
  </si>
  <si>
    <t>result_78_20251211_235712.pt</t>
  </si>
  <si>
    <t>5tjn_A_rec_1zj1_nlc_lig_tt_docked_4.sdf</t>
  </si>
  <si>
    <t>2025-12-12 00:49:12</t>
  </si>
  <si>
    <t>2025-12-12 01:08:45</t>
  </si>
  <si>
    <t>result_79_20251211_235810.pt</t>
  </si>
  <si>
    <t>5liu_X_rec_4gq0_qap_lig_tt_min_0.sdf</t>
  </si>
  <si>
    <t>2025-12-12 00:49:38</t>
  </si>
  <si>
    <t>2025-12-12 01:17:20</t>
  </si>
  <si>
    <t>result_80_20251211_235427.pt</t>
  </si>
  <si>
    <t>3o96_A_rec_3o96_iqo_lig_tt_docked_2.sdf</t>
  </si>
  <si>
    <t>2025-12-12 00:50:35</t>
  </si>
  <si>
    <t>2025-12-12 01:26:05</t>
  </si>
  <si>
    <t>result_81_20251211_235527.pt</t>
  </si>
  <si>
    <t>4qlk_A_rec_4qlk_ctt_lig_tt_docked_0.sdf</t>
  </si>
  <si>
    <t>2025-12-12 00:51:42</t>
  </si>
  <si>
    <t>2025-12-12 01:08:38</t>
  </si>
  <si>
    <t>result_82_20251211_235624.pt</t>
  </si>
  <si>
    <t>3hy9_B_rec_3hyg_099_lig_tt_min_0.sdf</t>
  </si>
  <si>
    <t>2025-12-12 00:51:48</t>
  </si>
  <si>
    <t>2025-12-12 01:27:05</t>
  </si>
  <si>
    <t>result_83_20251211_235722.pt</t>
  </si>
  <si>
    <t>4bel_A_rec_2ewy_dbo_lig_tt_min_0.sdf</t>
  </si>
  <si>
    <t>2025-12-12 00:54:03</t>
  </si>
  <si>
    <t>2025-12-12 01:10:48</t>
  </si>
  <si>
    <t>result_84_20251211_235824.pt</t>
  </si>
  <si>
    <t>3nfb_A_rec_3nfb_oae_lig_tt_docked_2.sdf</t>
  </si>
  <si>
    <t>2025-12-12 00:55:02</t>
  </si>
  <si>
    <t>2025-12-12 01:16:42</t>
  </si>
  <si>
    <t>result_85_20251211_235427.pt</t>
  </si>
  <si>
    <t>4m7t_A_rec_4m7t_sam_lig_tt_min_0.sdf</t>
  </si>
  <si>
    <t>2025-12-12 00:55:42</t>
  </si>
  <si>
    <t>2025-12-12 01:09:37</t>
  </si>
  <si>
    <t>result_86_20251211_235530.pt</t>
  </si>
  <si>
    <t>3u9f_C_rec_3u9f_clm_lig_tt_min_0.sdf</t>
  </si>
  <si>
    <t>2025-12-12 00:56:38</t>
  </si>
  <si>
    <t>2025-12-12 01:06:27</t>
  </si>
  <si>
    <t>result_87_20251211_235624.pt</t>
  </si>
  <si>
    <t>4aua_A_rec_4aua_4au_lig_it2_tt_docked_7.sdf</t>
  </si>
  <si>
    <t>2025-12-12 01:10:37</t>
  </si>
  <si>
    <t>result_88_20251211_235721.pt</t>
  </si>
  <si>
    <t>2f2c_B_rec_1xo2_fse_lig_tt_min_0.sdf</t>
  </si>
  <si>
    <t>2025-12-12 00:56:42</t>
  </si>
  <si>
    <t>2025-12-12 01:09:23</t>
  </si>
  <si>
    <t>result_89_20251211_235819.pt</t>
  </si>
  <si>
    <t>3chc_B_rec_3ch9_xrg_lig_tt_min_0.sdf</t>
  </si>
  <si>
    <t>2025-12-12 00:57:44</t>
  </si>
  <si>
    <t>2025-12-12 01:04:35</t>
  </si>
  <si>
    <t>result_90_20251211_235906.pt</t>
  </si>
  <si>
    <t>1k9t_A_rec_2wlz_dio_lig_tt_min_0.sdf</t>
  </si>
  <si>
    <t>2025-12-12 01:11:35</t>
  </si>
  <si>
    <t>result_91_20251212_000004.pt</t>
  </si>
  <si>
    <t>1h0i_A_rec_1e6z_ngo_lig_it2_tt_docked_15.sdf</t>
  </si>
  <si>
    <t>2025-12-12 00:58:00</t>
  </si>
  <si>
    <t>2025-12-12 01:29:51</t>
  </si>
  <si>
    <t>result_92_20251212_000105.pt</t>
  </si>
  <si>
    <t>4z2g_A_rec_4z2g_m6v_lig_tt_docked_16.sdf</t>
  </si>
  <si>
    <t>2025-12-12 00:58:46</t>
  </si>
  <si>
    <t>2025-12-12 01:08:33</t>
  </si>
  <si>
    <t>result_93_20251212_000202.pt</t>
  </si>
  <si>
    <t>3af2_A_rec_3af4_gcp_lig_tt_min_0.sdf</t>
  </si>
  <si>
    <t>2025-12-12 00:59:08</t>
  </si>
  <si>
    <t>2025-12-12 01:05:31</t>
  </si>
  <si>
    <t>result_94_20251212_000258.pt</t>
  </si>
  <si>
    <t>1jn2_P_rec_1val_png_lig_tt_docked_11.sdf</t>
  </si>
  <si>
    <t>2025-12-12 01:00:24</t>
  </si>
  <si>
    <t>2025-12-12 01:16:24</t>
  </si>
  <si>
    <t>result_95_20251211_235907.pt</t>
  </si>
  <si>
    <t>3li4_A_rec_2gvv_di9_lig_tt_min_0.sdf</t>
  </si>
  <si>
    <t>2025-12-12 01:02:02</t>
  </si>
  <si>
    <t>2025-12-12 01:14:06</t>
  </si>
  <si>
    <t>result_97_20251212_000100.pt</t>
  </si>
  <si>
    <t>1afs_A_rec_1afs_tes_lig_tt_min_0.sdf</t>
  </si>
  <si>
    <t>2025-12-12 01:02:37</t>
  </si>
  <si>
    <t>2025-12-12 01:18:20</t>
  </si>
  <si>
    <t>result_98_20251212_000159.pt</t>
  </si>
  <si>
    <t>4azf_A_rec_5lxc_7aa_lig_tt_min_0.sdf</t>
  </si>
  <si>
    <t>2025-12-12 01:02:38</t>
  </si>
  <si>
    <t>2025-12-12 01:11:32</t>
  </si>
  <si>
    <t>result_99_20251212_000255.pt</t>
  </si>
  <si>
    <t>2pc8_A_rec_1eqc_cts_lig_tt_docked_6.sdf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</si>
</sst>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01"/>
  <sheetViews>
    <sheetView tabSelected="1" workbookViewId="0">
      <selection activeCell="Q2" sqref="Q2"/>
    </sheetView>
  </sheetViews>
  <sheetFormatPr defaultColWidth="9" defaultRowHeight="13.5"/>
  <cols>
    <col min="3" max="3" width="11.5"/>
    <col min="16" max="16" width="13.75"/>
    <col min="17" max="17" width="11.5"/>
    <col min="21" max="21" width="13.75"/>
    <col min="23" max="23" width="13.75"/>
    <col min="25" max="26" width="12.625"/>
    <col min="27" max="27" width="11.5"/>
    <col min="29" max="35" width="12.625"/>
    <col min="36" max="36" width="11.5"/>
    <col min="37" max="40" width="12.625"/>
  </cols>
  <sheetData>
    <row r="1" s="1" customFormat="1" spans="1:4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/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</row>
    <row r="2" s="1" customFormat="1" spans="1:41">
      <c r="A2" s="1" t="s">
        <v>40</v>
      </c>
      <c r="B2" s="1" t="s">
        <v>41</v>
      </c>
      <c r="C2" s="1">
        <v>400.369852</v>
      </c>
      <c r="D2" s="1" t="s">
        <v>42</v>
      </c>
      <c r="E2" s="1" t="s">
        <v>43</v>
      </c>
      <c r="F2" s="1" t="s">
        <v>44</v>
      </c>
      <c r="G2" s="1" t="s">
        <v>45</v>
      </c>
      <c r="H2" s="1">
        <v>8</v>
      </c>
      <c r="I2" s="1">
        <v>64</v>
      </c>
      <c r="J2" s="1">
        <v>64</v>
      </c>
      <c r="K2" s="1">
        <v>100</v>
      </c>
      <c r="L2" s="1">
        <v>53</v>
      </c>
      <c r="M2" s="1">
        <v>82.8125</v>
      </c>
      <c r="N2" s="1">
        <v>53</v>
      </c>
      <c r="O2" s="1">
        <v>82.8125</v>
      </c>
      <c r="P2" s="1">
        <v>-4.6651320754717</v>
      </c>
      <c r="Q2" s="1">
        <f>PRODUCT(N2,P2)</f>
        <v>-247.252</v>
      </c>
      <c r="R2" s="1">
        <v>-4.563</v>
      </c>
      <c r="S2" s="1">
        <v>-5.914</v>
      </c>
      <c r="T2" s="1">
        <v>-3.609</v>
      </c>
      <c r="U2" s="1">
        <v>-3.01579245283019</v>
      </c>
      <c r="V2" s="1">
        <v>-2.981</v>
      </c>
      <c r="W2" s="1">
        <v>-3.3437358490566</v>
      </c>
      <c r="X2" s="1">
        <v>-3.341</v>
      </c>
      <c r="Y2" s="1">
        <v>0.489752073596251</v>
      </c>
      <c r="Z2" s="1">
        <v>0.524129052556251</v>
      </c>
      <c r="AA2" s="1">
        <v>0.70953125</v>
      </c>
      <c r="AB2" s="1">
        <v>0.69</v>
      </c>
      <c r="AC2" s="1">
        <v>0.245645462312058</v>
      </c>
      <c r="AD2" s="1">
        <v>0.260685576001006</v>
      </c>
      <c r="AE2" s="1">
        <v>0.772971488785972</v>
      </c>
      <c r="AF2" s="1">
        <v>0.816510660992154</v>
      </c>
      <c r="AG2" s="1">
        <v>0.780607331893752</v>
      </c>
      <c r="AH2" s="1">
        <v>0.813266889152141</v>
      </c>
      <c r="AI2" s="1">
        <v>0.803453066472972</v>
      </c>
      <c r="AJ2" s="1">
        <v>0.717297570055108</v>
      </c>
      <c r="AK2" s="1">
        <v>0.805667204211544</v>
      </c>
      <c r="AL2" s="1">
        <v>0.811375301234707</v>
      </c>
      <c r="AM2" s="1">
        <v>0.495072125863922</v>
      </c>
      <c r="AN2" s="1">
        <v>0.684534317297135</v>
      </c>
      <c r="AO2" s="1">
        <v>14</v>
      </c>
    </row>
    <row r="3" s="1" customFormat="1" spans="1:41">
      <c r="A3" s="1" t="s">
        <v>40</v>
      </c>
      <c r="B3" s="1" t="s">
        <v>46</v>
      </c>
      <c r="C3" s="1">
        <v>644.031234</v>
      </c>
      <c r="D3" s="1" t="s">
        <v>47</v>
      </c>
      <c r="E3" s="1" t="s">
        <v>48</v>
      </c>
      <c r="F3" s="1" t="s">
        <v>44</v>
      </c>
      <c r="G3" s="1" t="s">
        <v>45</v>
      </c>
      <c r="H3" s="1">
        <v>8</v>
      </c>
      <c r="I3" s="1">
        <v>64</v>
      </c>
      <c r="J3" s="1">
        <v>63</v>
      </c>
      <c r="K3" s="1">
        <v>98.4375</v>
      </c>
      <c r="L3" s="1">
        <v>18</v>
      </c>
      <c r="M3" s="1">
        <v>28.125</v>
      </c>
      <c r="N3" s="1">
        <v>18</v>
      </c>
      <c r="O3" s="1">
        <v>28.125</v>
      </c>
      <c r="P3" s="1">
        <v>-8.27661111111111</v>
      </c>
      <c r="Q3" s="1">
        <f t="shared" ref="Q3:Q34" si="0">PRODUCT(N3,P3)</f>
        <v>-148.979</v>
      </c>
      <c r="R3" s="1">
        <v>-8.03</v>
      </c>
      <c r="S3" s="1">
        <v>-11.518</v>
      </c>
      <c r="T3" s="1">
        <v>-6.734</v>
      </c>
      <c r="U3" s="1">
        <v>-6.40638888888889</v>
      </c>
      <c r="V3" s="1">
        <v>-5.9875</v>
      </c>
      <c r="W3" s="1">
        <v>-6.83238888888889</v>
      </c>
      <c r="X3" s="1">
        <v>-6.3965</v>
      </c>
      <c r="Y3" s="1">
        <v>0.225431281446881</v>
      </c>
      <c r="Z3" s="1">
        <v>0.194644957910818</v>
      </c>
      <c r="AA3" s="1">
        <v>0.58047619047619</v>
      </c>
      <c r="AB3" s="1">
        <v>0.57</v>
      </c>
      <c r="AC3" s="1">
        <v>0.177374572749078</v>
      </c>
      <c r="AD3" s="1">
        <v>0.175520740406094</v>
      </c>
      <c r="AE3" s="1">
        <v>0.757746252540278</v>
      </c>
      <c r="AF3" s="1">
        <v>0.801968100000442</v>
      </c>
      <c r="AG3" s="1" t="s">
        <v>49</v>
      </c>
      <c r="AH3" s="1">
        <v>0.794255224917621</v>
      </c>
      <c r="AI3" s="1">
        <v>0.809695436963048</v>
      </c>
      <c r="AJ3" s="1" t="s">
        <v>49</v>
      </c>
      <c r="AK3" s="1">
        <v>0.81244042393593</v>
      </c>
      <c r="AL3" s="1">
        <v>0.803999978708514</v>
      </c>
      <c r="AM3" s="1">
        <v>0.287151981681625</v>
      </c>
      <c r="AN3" s="1">
        <v>0.640071122928382</v>
      </c>
      <c r="AO3" s="1">
        <v>16</v>
      </c>
    </row>
    <row r="4" s="1" customFormat="1" spans="1:41">
      <c r="A4" s="1" t="s">
        <v>40</v>
      </c>
      <c r="B4" s="1" t="s">
        <v>50</v>
      </c>
      <c r="C4" s="1">
        <v>1053.194305</v>
      </c>
      <c r="D4" s="1" t="s">
        <v>51</v>
      </c>
      <c r="E4" s="1" t="s">
        <v>52</v>
      </c>
      <c r="F4" s="1" t="s">
        <v>44</v>
      </c>
      <c r="G4" s="1" t="s">
        <v>45</v>
      </c>
      <c r="H4" s="1">
        <v>8</v>
      </c>
      <c r="I4" s="1">
        <v>64</v>
      </c>
      <c r="J4" s="1">
        <v>61</v>
      </c>
      <c r="K4" s="1">
        <v>95.3125</v>
      </c>
      <c r="L4" s="1">
        <v>38</v>
      </c>
      <c r="M4" s="1">
        <v>59.375</v>
      </c>
      <c r="N4" s="1">
        <v>38</v>
      </c>
      <c r="O4" s="1">
        <v>59.375</v>
      </c>
      <c r="P4" s="1">
        <v>-7.18957894736842</v>
      </c>
      <c r="Q4" s="1">
        <f t="shared" si="0"/>
        <v>-273.204</v>
      </c>
      <c r="R4" s="1">
        <v>-7.2025</v>
      </c>
      <c r="S4" s="1">
        <v>-9.367</v>
      </c>
      <c r="T4" s="1">
        <v>-4.953</v>
      </c>
      <c r="U4" s="1">
        <v>-1.9798947368421</v>
      </c>
      <c r="V4" s="1">
        <v>-2.0365</v>
      </c>
      <c r="W4" s="1">
        <v>-3.20234210526316</v>
      </c>
      <c r="X4" s="1">
        <v>-2.991</v>
      </c>
      <c r="Y4" s="1">
        <v>0.378378684973653</v>
      </c>
      <c r="Z4" s="1">
        <v>0.361173451929575</v>
      </c>
      <c r="AA4" s="1">
        <v>0.592295081967213</v>
      </c>
      <c r="AB4" s="1">
        <v>0.58</v>
      </c>
      <c r="AC4" s="1">
        <v>0.243449547250233</v>
      </c>
      <c r="AD4" s="1">
        <v>0.257326152755059</v>
      </c>
      <c r="AE4" s="1">
        <v>0.722312617932763</v>
      </c>
      <c r="AF4" s="1">
        <v>0.794243756898921</v>
      </c>
      <c r="AG4" s="1">
        <v>0.774602639488518</v>
      </c>
      <c r="AH4" s="1">
        <v>0.803912598265009</v>
      </c>
      <c r="AI4" s="1">
        <v>0.814414039639466</v>
      </c>
      <c r="AJ4" s="1" t="s">
        <v>49</v>
      </c>
      <c r="AK4" s="1">
        <v>0.799577322462156</v>
      </c>
      <c r="AL4" s="1">
        <v>0.815483291354507</v>
      </c>
      <c r="AM4" s="1">
        <v>0.294300197002478</v>
      </c>
      <c r="AN4" s="1">
        <v>0.602958591886607</v>
      </c>
      <c r="AO4" s="1">
        <v>20</v>
      </c>
    </row>
    <row r="5" s="1" customFormat="1" spans="1:41">
      <c r="A5" s="1" t="s">
        <v>40</v>
      </c>
      <c r="B5" s="1" t="s">
        <v>53</v>
      </c>
      <c r="C5" s="1">
        <v>2029.279076</v>
      </c>
      <c r="D5" s="1" t="s">
        <v>54</v>
      </c>
      <c r="E5" s="1" t="s">
        <v>55</v>
      </c>
      <c r="F5" s="1" t="s">
        <v>44</v>
      </c>
      <c r="G5" s="1" t="s">
        <v>45</v>
      </c>
      <c r="H5" s="1">
        <v>8</v>
      </c>
      <c r="I5" s="1">
        <v>64</v>
      </c>
      <c r="J5" s="1">
        <v>63</v>
      </c>
      <c r="K5" s="1">
        <v>98.4375</v>
      </c>
      <c r="L5" s="1">
        <v>39</v>
      </c>
      <c r="M5" s="1">
        <v>60.9375</v>
      </c>
      <c r="N5" s="1">
        <v>39</v>
      </c>
      <c r="O5" s="1">
        <v>60.9375</v>
      </c>
      <c r="P5" s="1">
        <v>-10.6357692307692</v>
      </c>
      <c r="Q5" s="1">
        <f t="shared" si="0"/>
        <v>-414.794999999999</v>
      </c>
      <c r="R5" s="1">
        <v>-10.712</v>
      </c>
      <c r="S5" s="1">
        <v>-13.354</v>
      </c>
      <c r="T5" s="1">
        <v>-8.225</v>
      </c>
      <c r="U5" s="1">
        <v>-8.55264102564103</v>
      </c>
      <c r="V5" s="1">
        <v>-8.997</v>
      </c>
      <c r="W5" s="1">
        <v>-9.11189743589744</v>
      </c>
      <c r="X5" s="1">
        <v>-9.543</v>
      </c>
      <c r="Y5" s="1">
        <v>0.154620934533966</v>
      </c>
      <c r="Z5" s="1">
        <v>0.150586199788038</v>
      </c>
      <c r="AA5" s="1">
        <v>0.527777777777778</v>
      </c>
      <c r="AB5" s="1">
        <v>0.51</v>
      </c>
      <c r="AC5" s="1">
        <v>0.243056548368786</v>
      </c>
      <c r="AD5" s="1">
        <v>0.24689731877855</v>
      </c>
      <c r="AE5" s="1">
        <v>0.705841806090242</v>
      </c>
      <c r="AF5" s="1">
        <v>0.780347999877042</v>
      </c>
      <c r="AG5" s="1">
        <v>0.780174761160878</v>
      </c>
      <c r="AH5" s="1">
        <v>0.819209486761131</v>
      </c>
      <c r="AI5" s="1">
        <v>0.825822594760623</v>
      </c>
      <c r="AJ5" s="1">
        <v>0.783813392046594</v>
      </c>
      <c r="AK5" s="1">
        <v>0.816374662408625</v>
      </c>
      <c r="AL5" s="1">
        <v>0.798240513640452</v>
      </c>
      <c r="AM5" s="1">
        <v>0.257952792716921</v>
      </c>
      <c r="AN5" s="1">
        <v>0.569507589228</v>
      </c>
      <c r="AO5" s="1">
        <v>22</v>
      </c>
    </row>
    <row r="6" s="1" customFormat="1" spans="1:41">
      <c r="A6" s="1" t="s">
        <v>40</v>
      </c>
      <c r="B6" s="1" t="s">
        <v>56</v>
      </c>
      <c r="C6" s="1">
        <v>1487.570309</v>
      </c>
      <c r="D6" s="1" t="s">
        <v>57</v>
      </c>
      <c r="E6" s="1" t="s">
        <v>58</v>
      </c>
      <c r="F6" s="1" t="s">
        <v>44</v>
      </c>
      <c r="G6" s="1" t="s">
        <v>45</v>
      </c>
      <c r="H6" s="1">
        <v>8</v>
      </c>
      <c r="I6" s="1">
        <v>64</v>
      </c>
      <c r="J6" s="1">
        <v>64</v>
      </c>
      <c r="K6" s="1">
        <v>100</v>
      </c>
      <c r="L6" s="1">
        <v>47</v>
      </c>
      <c r="M6" s="1">
        <v>73.4375</v>
      </c>
      <c r="N6" s="1">
        <v>47</v>
      </c>
      <c r="O6" s="1">
        <v>73.4375</v>
      </c>
      <c r="P6" s="1">
        <v>-10.3894680851064</v>
      </c>
      <c r="Q6" s="1">
        <f t="shared" si="0"/>
        <v>-488.305000000001</v>
      </c>
      <c r="R6" s="1">
        <v>-10.196</v>
      </c>
      <c r="S6" s="1">
        <v>-16.99</v>
      </c>
      <c r="T6" s="1">
        <v>-5.687</v>
      </c>
      <c r="U6" s="1">
        <v>-9.08453191489362</v>
      </c>
      <c r="V6" s="1">
        <v>-9.151</v>
      </c>
      <c r="W6" s="1">
        <v>-9.33778723404255</v>
      </c>
      <c r="X6" s="1">
        <v>-9.352</v>
      </c>
      <c r="Y6" s="1">
        <v>0.218625486712962</v>
      </c>
      <c r="Z6" s="1">
        <v>0.18285936421017</v>
      </c>
      <c r="AA6" s="1">
        <v>0.5490625</v>
      </c>
      <c r="AB6" s="1">
        <v>0.55</v>
      </c>
      <c r="AC6" s="1">
        <v>0.26516301173586</v>
      </c>
      <c r="AD6" s="1">
        <v>0.248221066408274</v>
      </c>
      <c r="AE6" s="1">
        <v>0.762095014152771</v>
      </c>
      <c r="AF6" s="1">
        <v>0.799534868306116</v>
      </c>
      <c r="AG6" s="1">
        <v>0.826675607996832</v>
      </c>
      <c r="AH6" s="1">
        <v>0.770659186731494</v>
      </c>
      <c r="AI6" s="1">
        <v>0.811600819017475</v>
      </c>
      <c r="AJ6" s="1">
        <v>0.807775350848544</v>
      </c>
      <c r="AK6" s="1">
        <v>0.811032917474329</v>
      </c>
      <c r="AL6" s="1">
        <v>0.818358455399117</v>
      </c>
      <c r="AM6" s="1">
        <v>0.30927861851159</v>
      </c>
      <c r="AN6" s="1">
        <v>0.650165162602787</v>
      </c>
      <c r="AO6" s="1">
        <v>4</v>
      </c>
    </row>
    <row r="7" s="1" customFormat="1" spans="1:41">
      <c r="A7" s="1" t="s">
        <v>40</v>
      </c>
      <c r="B7" s="1" t="s">
        <v>59</v>
      </c>
      <c r="C7" s="1">
        <v>396.011916</v>
      </c>
      <c r="D7" s="1" t="s">
        <v>60</v>
      </c>
      <c r="E7" s="1" t="s">
        <v>61</v>
      </c>
      <c r="F7" s="1" t="s">
        <v>44</v>
      </c>
      <c r="G7" s="1" t="s">
        <v>45</v>
      </c>
      <c r="H7" s="1">
        <v>8</v>
      </c>
      <c r="I7" s="1">
        <v>64</v>
      </c>
      <c r="J7" s="1">
        <v>64</v>
      </c>
      <c r="K7" s="1">
        <v>100</v>
      </c>
      <c r="L7" s="1">
        <v>34</v>
      </c>
      <c r="M7" s="1">
        <v>53.125</v>
      </c>
      <c r="N7" s="1">
        <v>34</v>
      </c>
      <c r="O7" s="1">
        <v>53.125</v>
      </c>
      <c r="P7" s="1">
        <v>-5.6655</v>
      </c>
      <c r="Q7" s="1">
        <f t="shared" si="0"/>
        <v>-192.627</v>
      </c>
      <c r="R7" s="1">
        <v>-5.785</v>
      </c>
      <c r="S7" s="1">
        <v>-7.367</v>
      </c>
      <c r="T7" s="1">
        <v>-4.217</v>
      </c>
      <c r="U7" s="1">
        <v>-3.18288235294118</v>
      </c>
      <c r="V7" s="1">
        <v>-3.1475</v>
      </c>
      <c r="W7" s="1">
        <v>-3.88732352941176</v>
      </c>
      <c r="X7" s="1">
        <v>-3.897</v>
      </c>
      <c r="Y7" s="1">
        <v>0.427409033518164</v>
      </c>
      <c r="Z7" s="1">
        <v>0.453602203168849</v>
      </c>
      <c r="AA7" s="1">
        <v>0.6653125</v>
      </c>
      <c r="AB7" s="1">
        <v>0.67</v>
      </c>
      <c r="AC7" s="1">
        <v>0.253696913164296</v>
      </c>
      <c r="AD7" s="1">
        <v>0.256299487183946</v>
      </c>
      <c r="AE7" s="1">
        <v>0.765046058904594</v>
      </c>
      <c r="AF7" s="1">
        <v>0.812255417112612</v>
      </c>
      <c r="AG7" s="1" t="s">
        <v>49</v>
      </c>
      <c r="AH7" s="1">
        <v>0.817859343659626</v>
      </c>
      <c r="AI7" s="1" t="s">
        <v>49</v>
      </c>
      <c r="AJ7" s="1" t="s">
        <v>49</v>
      </c>
      <c r="AK7" s="1">
        <v>0.806829381393691</v>
      </c>
      <c r="AL7" s="1">
        <v>0.807494524136983</v>
      </c>
      <c r="AM7" s="1">
        <v>0.404429556048112</v>
      </c>
      <c r="AN7" s="1">
        <v>0.661572455473095</v>
      </c>
      <c r="AO7" s="1">
        <v>5</v>
      </c>
    </row>
    <row r="8" s="1" customFormat="1" spans="1:41">
      <c r="A8" s="1" t="s">
        <v>40</v>
      </c>
      <c r="B8" s="1" t="s">
        <v>62</v>
      </c>
      <c r="C8" s="1">
        <v>2062.800506</v>
      </c>
      <c r="D8" s="1" t="s">
        <v>63</v>
      </c>
      <c r="E8" s="1" t="s">
        <v>64</v>
      </c>
      <c r="F8" s="1" t="s">
        <v>44</v>
      </c>
      <c r="G8" s="1" t="s">
        <v>45</v>
      </c>
      <c r="H8" s="1">
        <v>8</v>
      </c>
      <c r="I8" s="1">
        <v>64</v>
      </c>
      <c r="J8" s="1">
        <v>59</v>
      </c>
      <c r="K8" s="1">
        <v>92.1875</v>
      </c>
      <c r="L8" s="1">
        <v>27</v>
      </c>
      <c r="M8" s="1">
        <v>42.1875</v>
      </c>
      <c r="N8" s="1">
        <v>27</v>
      </c>
      <c r="O8" s="1">
        <v>42.1875</v>
      </c>
      <c r="P8" s="1">
        <v>-8.97562962962963</v>
      </c>
      <c r="Q8" s="1">
        <f t="shared" si="0"/>
        <v>-242.342</v>
      </c>
      <c r="R8" s="1">
        <v>-9.125</v>
      </c>
      <c r="S8" s="1">
        <v>-11.349</v>
      </c>
      <c r="T8" s="1">
        <v>-6.147</v>
      </c>
      <c r="U8" s="1">
        <v>-7.05985185185185</v>
      </c>
      <c r="V8" s="1">
        <v>-7.19</v>
      </c>
      <c r="W8" s="1">
        <v>-7.31033333333333</v>
      </c>
      <c r="X8" s="1">
        <v>-7.692</v>
      </c>
      <c r="Y8" s="1">
        <v>0.133154875818528</v>
      </c>
      <c r="Z8" s="1">
        <v>0.0948971777702577</v>
      </c>
      <c r="AA8" s="1">
        <v>0.485254237288136</v>
      </c>
      <c r="AB8" s="1">
        <v>0.47</v>
      </c>
      <c r="AC8" s="1">
        <v>0.194414138268765</v>
      </c>
      <c r="AD8" s="1">
        <v>0.184342313991623</v>
      </c>
      <c r="AE8" s="1">
        <v>0.719898180115816</v>
      </c>
      <c r="AF8" s="1">
        <v>0.786506871883487</v>
      </c>
      <c r="AG8" s="1">
        <v>0.810256289463087</v>
      </c>
      <c r="AH8" s="1">
        <v>0.791362121747025</v>
      </c>
      <c r="AI8" s="1">
        <v>0.81787379610726</v>
      </c>
      <c r="AJ8" s="1">
        <v>0.732822286087148</v>
      </c>
      <c r="AK8" s="1">
        <v>0.812638657995882</v>
      </c>
      <c r="AL8" s="1">
        <v>0.807955948484886</v>
      </c>
      <c r="AM8" s="1">
        <v>0.255950815359777</v>
      </c>
      <c r="AN8" s="1">
        <v>0.578533559084299</v>
      </c>
      <c r="AO8" s="1">
        <v>7</v>
      </c>
    </row>
    <row r="9" s="1" customFormat="1" spans="1:41">
      <c r="A9" s="1" t="s">
        <v>40</v>
      </c>
      <c r="B9" s="1" t="s">
        <v>65</v>
      </c>
      <c r="C9" s="1">
        <v>582.872881</v>
      </c>
      <c r="D9" s="1" t="s">
        <v>66</v>
      </c>
      <c r="E9" s="1" t="s">
        <v>67</v>
      </c>
      <c r="F9" s="1" t="s">
        <v>44</v>
      </c>
      <c r="G9" s="1" t="s">
        <v>45</v>
      </c>
      <c r="H9" s="1">
        <v>8</v>
      </c>
      <c r="I9" s="1">
        <v>64</v>
      </c>
      <c r="J9" s="1">
        <v>63</v>
      </c>
      <c r="K9" s="1">
        <v>98.4375</v>
      </c>
      <c r="L9" s="1">
        <v>42</v>
      </c>
      <c r="M9" s="1">
        <v>65.625</v>
      </c>
      <c r="N9" s="1">
        <v>42</v>
      </c>
      <c r="O9" s="1">
        <v>65.625</v>
      </c>
      <c r="P9" s="1">
        <v>-7.48654761904762</v>
      </c>
      <c r="Q9" s="1">
        <f t="shared" si="0"/>
        <v>-314.435</v>
      </c>
      <c r="R9" s="1">
        <v>-7.2055</v>
      </c>
      <c r="S9" s="1">
        <v>-13.536</v>
      </c>
      <c r="T9" s="1">
        <v>-4.682</v>
      </c>
      <c r="U9" s="1">
        <v>-5.75080952380952</v>
      </c>
      <c r="V9" s="1">
        <v>-5.5265</v>
      </c>
      <c r="W9" s="1">
        <v>-6.08261904761905</v>
      </c>
      <c r="X9" s="1">
        <v>-5.6265</v>
      </c>
      <c r="Y9" s="1">
        <v>0.389385357691559</v>
      </c>
      <c r="Z9" s="1">
        <v>0.393769215435157</v>
      </c>
      <c r="AA9" s="1">
        <v>0.686984126984127</v>
      </c>
      <c r="AB9" s="1">
        <v>0.68</v>
      </c>
      <c r="AC9" s="1">
        <v>0.277348212721289</v>
      </c>
      <c r="AD9" s="1">
        <v>0.275089439745671</v>
      </c>
      <c r="AE9" s="1">
        <v>0.758158313028687</v>
      </c>
      <c r="AF9" s="1">
        <v>0.796219740893615</v>
      </c>
      <c r="AG9" s="1">
        <v>0.789154907883416</v>
      </c>
      <c r="AH9" s="1">
        <v>0.801364651832499</v>
      </c>
      <c r="AI9" s="1">
        <v>0.815092589520713</v>
      </c>
      <c r="AJ9" s="1" t="s">
        <v>49</v>
      </c>
      <c r="AK9" s="1">
        <v>0.810839103044703</v>
      </c>
      <c r="AL9" s="1">
        <v>0.799299332678528</v>
      </c>
      <c r="AM9" s="1">
        <v>0.407127331713356</v>
      </c>
      <c r="AN9" s="1">
        <v>0.636400439289142</v>
      </c>
      <c r="AO9" s="1">
        <v>8</v>
      </c>
    </row>
    <row r="10" s="1" customFormat="1" spans="1:41">
      <c r="A10" s="1" t="s">
        <v>40</v>
      </c>
      <c r="B10" s="1" t="s">
        <v>68</v>
      </c>
      <c r="C10" s="1">
        <v>2142.251267</v>
      </c>
      <c r="D10" s="1" t="s">
        <v>69</v>
      </c>
      <c r="E10" s="1" t="s">
        <v>70</v>
      </c>
      <c r="F10" s="1" t="s">
        <v>44</v>
      </c>
      <c r="G10" s="1" t="s">
        <v>45</v>
      </c>
      <c r="H10" s="1">
        <v>8</v>
      </c>
      <c r="I10" s="1">
        <v>64</v>
      </c>
      <c r="J10" s="1">
        <v>63</v>
      </c>
      <c r="K10" s="1">
        <v>98.4375</v>
      </c>
      <c r="L10" s="1">
        <v>46</v>
      </c>
      <c r="M10" s="1">
        <v>71.875</v>
      </c>
      <c r="N10" s="1">
        <v>46</v>
      </c>
      <c r="O10" s="1">
        <v>71.875</v>
      </c>
      <c r="P10" s="1">
        <v>-6.94260869565217</v>
      </c>
      <c r="Q10" s="1">
        <f t="shared" si="0"/>
        <v>-319.36</v>
      </c>
      <c r="R10" s="1">
        <v>-6.999</v>
      </c>
      <c r="S10" s="1">
        <v>-8.797</v>
      </c>
      <c r="T10" s="1">
        <v>-5.111</v>
      </c>
      <c r="U10" s="1">
        <v>-5.0935</v>
      </c>
      <c r="V10" s="1">
        <v>-5.049</v>
      </c>
      <c r="W10" s="1">
        <v>-5.40328260869565</v>
      </c>
      <c r="X10" s="1">
        <v>-5.642</v>
      </c>
      <c r="Y10" s="1">
        <v>0.236367369361042</v>
      </c>
      <c r="Z10" s="1">
        <v>0.199656142508839</v>
      </c>
      <c r="AA10" s="1">
        <v>0.58952380952381</v>
      </c>
      <c r="AB10" s="1">
        <v>0.57</v>
      </c>
      <c r="AC10" s="1">
        <v>0.168986313407701</v>
      </c>
      <c r="AD10" s="1">
        <v>0.16617218672076</v>
      </c>
      <c r="AE10" s="1">
        <v>0.732889157468014</v>
      </c>
      <c r="AF10" s="1">
        <v>0.80431022261504</v>
      </c>
      <c r="AG10" s="1">
        <v>0.825796318871189</v>
      </c>
      <c r="AH10" s="1">
        <v>0.793002190786738</v>
      </c>
      <c r="AI10" s="1">
        <v>0.810693860567809</v>
      </c>
      <c r="AJ10" s="1">
        <v>0.775734636751359</v>
      </c>
      <c r="AK10" s="1">
        <v>0.804569167347009</v>
      </c>
      <c r="AL10" s="1">
        <v>0.812250647418496</v>
      </c>
      <c r="AM10" s="1">
        <v>0.276760665242137</v>
      </c>
      <c r="AN10" s="1">
        <v>0.617978973121964</v>
      </c>
      <c r="AO10" s="1">
        <v>9</v>
      </c>
    </row>
    <row r="11" s="1" customFormat="1" spans="1:41">
      <c r="A11" s="1" t="s">
        <v>71</v>
      </c>
      <c r="B11" s="1" t="s">
        <v>72</v>
      </c>
      <c r="C11" s="1">
        <v>977.61108</v>
      </c>
      <c r="D11" s="1" t="s">
        <v>73</v>
      </c>
      <c r="E11" s="1" t="s">
        <v>74</v>
      </c>
      <c r="F11" s="1" t="s">
        <v>44</v>
      </c>
      <c r="G11" s="1" t="s">
        <v>45</v>
      </c>
      <c r="H11" s="1">
        <v>8</v>
      </c>
      <c r="I11" s="1">
        <v>64</v>
      </c>
      <c r="J11" s="1">
        <v>63</v>
      </c>
      <c r="K11" s="1">
        <v>98.4375</v>
      </c>
      <c r="L11" s="1">
        <v>29</v>
      </c>
      <c r="M11" s="1">
        <v>45.3125</v>
      </c>
      <c r="N11" s="1">
        <v>29</v>
      </c>
      <c r="O11" s="1">
        <v>45.3125</v>
      </c>
      <c r="P11" s="1">
        <v>-8.97362068965517</v>
      </c>
      <c r="Q11" s="1">
        <f t="shared" si="0"/>
        <v>-260.235</v>
      </c>
      <c r="R11" s="1">
        <v>-8.96</v>
      </c>
      <c r="S11" s="1">
        <v>-11.621</v>
      </c>
      <c r="T11" s="1">
        <v>-6.977</v>
      </c>
      <c r="U11" s="1">
        <v>-7.47213793103448</v>
      </c>
      <c r="V11" s="1">
        <v>-7.488</v>
      </c>
      <c r="W11" s="1">
        <v>-7.781</v>
      </c>
      <c r="X11" s="1">
        <v>-7.834</v>
      </c>
      <c r="Y11" s="1">
        <v>0.184328458058168</v>
      </c>
      <c r="Z11" s="1">
        <v>0.172633653215691</v>
      </c>
      <c r="AA11" s="1">
        <v>0.536507936507937</v>
      </c>
      <c r="AB11" s="1">
        <v>0.54</v>
      </c>
      <c r="AC11" s="1">
        <v>0.147592448933522</v>
      </c>
      <c r="AD11" s="1">
        <v>0.147065350878115</v>
      </c>
      <c r="AE11" s="1">
        <v>0.743414034627471</v>
      </c>
      <c r="AF11" s="1">
        <v>0.799731420386672</v>
      </c>
      <c r="AG11" s="1" t="s">
        <v>49</v>
      </c>
      <c r="AH11" s="1">
        <v>0.794233531750002</v>
      </c>
      <c r="AI11" s="1">
        <v>0.816938901460156</v>
      </c>
      <c r="AJ11" s="1" t="s">
        <v>49</v>
      </c>
      <c r="AK11" s="1">
        <v>0.794256726808897</v>
      </c>
      <c r="AL11" s="1">
        <v>0.81112428045575</v>
      </c>
      <c r="AM11" s="1">
        <v>0.260632389051793</v>
      </c>
      <c r="AN11" s="1">
        <v>0.635550434926422</v>
      </c>
      <c r="AO11" s="1">
        <v>0</v>
      </c>
    </row>
    <row r="12" s="1" customFormat="1" spans="1:41">
      <c r="A12" s="1" t="s">
        <v>71</v>
      </c>
      <c r="B12" s="1" t="s">
        <v>75</v>
      </c>
      <c r="C12" s="1">
        <v>229.944989</v>
      </c>
      <c r="D12" s="1" t="s">
        <v>76</v>
      </c>
      <c r="E12" s="1" t="s">
        <v>77</v>
      </c>
      <c r="F12" s="1" t="s">
        <v>44</v>
      </c>
      <c r="G12" s="1" t="s">
        <v>45</v>
      </c>
      <c r="H12" s="1">
        <v>8</v>
      </c>
      <c r="I12" s="1">
        <v>64</v>
      </c>
      <c r="J12" s="1">
        <v>64</v>
      </c>
      <c r="K12" s="1">
        <v>100</v>
      </c>
      <c r="L12" s="1">
        <v>11</v>
      </c>
      <c r="M12" s="1">
        <v>17.1875</v>
      </c>
      <c r="N12" s="1">
        <v>11</v>
      </c>
      <c r="O12" s="1">
        <v>17.1875</v>
      </c>
      <c r="P12" s="1">
        <v>-5.70890909090909</v>
      </c>
      <c r="Q12" s="1">
        <f t="shared" si="0"/>
        <v>-62.798</v>
      </c>
      <c r="R12" s="1">
        <v>-5.161</v>
      </c>
      <c r="S12" s="1">
        <v>-7.975</v>
      </c>
      <c r="T12" s="1">
        <v>-3.996</v>
      </c>
      <c r="U12" s="1">
        <v>-4.54163636363636</v>
      </c>
      <c r="V12" s="1">
        <v>-4.598</v>
      </c>
      <c r="W12" s="1">
        <v>-4.82663636363636</v>
      </c>
      <c r="X12" s="1">
        <v>-4.811</v>
      </c>
      <c r="Y12" s="1">
        <v>0.373643952466066</v>
      </c>
      <c r="Z12" s="1">
        <v>0.344047104566756</v>
      </c>
      <c r="AA12" s="1">
        <v>0.65109375</v>
      </c>
      <c r="AB12" s="1">
        <v>0.645</v>
      </c>
      <c r="AC12" s="1">
        <v>0.24886509772094</v>
      </c>
      <c r="AD12" s="1">
        <v>0.246230145304496</v>
      </c>
      <c r="AE12" s="1">
        <v>0.767640318132522</v>
      </c>
      <c r="AF12" s="1">
        <v>0.813255869681231</v>
      </c>
      <c r="AG12" s="1">
        <v>0.694160650989375</v>
      </c>
      <c r="AH12" s="1" t="s">
        <v>49</v>
      </c>
      <c r="AI12" s="1" t="s">
        <v>49</v>
      </c>
      <c r="AJ12" s="1" t="s">
        <v>49</v>
      </c>
      <c r="AK12" s="1">
        <v>0.798383475668858</v>
      </c>
      <c r="AL12" s="1">
        <v>0.821398150266414</v>
      </c>
      <c r="AM12" s="1">
        <v>0.427615364047589</v>
      </c>
      <c r="AN12" s="1">
        <v>0.668906486298811</v>
      </c>
      <c r="AO12" s="1">
        <v>1</v>
      </c>
    </row>
    <row r="13" s="1" customFormat="1" spans="1:41">
      <c r="A13" s="1" t="s">
        <v>71</v>
      </c>
      <c r="B13" s="1" t="s">
        <v>78</v>
      </c>
      <c r="C13" s="1">
        <v>1462.188823</v>
      </c>
      <c r="D13" s="1" t="s">
        <v>79</v>
      </c>
      <c r="E13" s="1" t="s">
        <v>80</v>
      </c>
      <c r="F13" s="1" t="s">
        <v>44</v>
      </c>
      <c r="G13" s="1" t="s">
        <v>45</v>
      </c>
      <c r="H13" s="1">
        <v>8</v>
      </c>
      <c r="I13" s="1">
        <v>64</v>
      </c>
      <c r="J13" s="1">
        <v>63</v>
      </c>
      <c r="K13" s="1">
        <v>98.4375</v>
      </c>
      <c r="L13" s="1">
        <v>27</v>
      </c>
      <c r="M13" s="1">
        <v>42.1875</v>
      </c>
      <c r="N13" s="1">
        <v>27</v>
      </c>
      <c r="O13" s="1">
        <v>42.1875</v>
      </c>
      <c r="P13" s="1">
        <v>-8.868</v>
      </c>
      <c r="Q13" s="1">
        <f t="shared" si="0"/>
        <v>-239.436</v>
      </c>
      <c r="R13" s="1">
        <v>-8.785</v>
      </c>
      <c r="S13" s="1">
        <v>-11.324</v>
      </c>
      <c r="T13" s="1">
        <v>-7.072</v>
      </c>
      <c r="U13" s="1">
        <v>-6.73288888888889</v>
      </c>
      <c r="V13" s="1">
        <v>-6.692</v>
      </c>
      <c r="W13" s="1">
        <v>-7.05455555555556</v>
      </c>
      <c r="X13" s="1">
        <v>-7.159</v>
      </c>
      <c r="Y13" s="1">
        <v>0.162805188077743</v>
      </c>
      <c r="Z13" s="1">
        <v>0.15244181668542</v>
      </c>
      <c r="AA13" s="1">
        <v>0.525238095238095</v>
      </c>
      <c r="AB13" s="1">
        <v>0.53</v>
      </c>
      <c r="AC13" s="1">
        <v>0.184276820369609</v>
      </c>
      <c r="AD13" s="1">
        <v>0.182302055501841</v>
      </c>
      <c r="AE13" s="1">
        <v>0.760436284642047</v>
      </c>
      <c r="AF13" s="1">
        <v>0.810767343013831</v>
      </c>
      <c r="AG13" s="1">
        <v>0.822460217037299</v>
      </c>
      <c r="AH13" s="1">
        <v>0.788736792434017</v>
      </c>
      <c r="AI13" s="1">
        <v>0.805642274092269</v>
      </c>
      <c r="AJ13" s="1">
        <v>0.814583927278455</v>
      </c>
      <c r="AK13" s="1">
        <v>0.817109447144566</v>
      </c>
      <c r="AL13" s="1">
        <v>0.819466390014762</v>
      </c>
      <c r="AM13" s="1">
        <v>0.246570392364926</v>
      </c>
      <c r="AN13" s="1">
        <v>0.625950002357781</v>
      </c>
      <c r="AO13" s="1">
        <v>10</v>
      </c>
    </row>
    <row r="14" s="1" customFormat="1" spans="1:41">
      <c r="A14" s="1" t="s">
        <v>71</v>
      </c>
      <c r="B14" s="1" t="s">
        <v>81</v>
      </c>
      <c r="C14" s="1">
        <v>981.495728</v>
      </c>
      <c r="D14" s="1" t="s">
        <v>82</v>
      </c>
      <c r="E14" s="1" t="s">
        <v>83</v>
      </c>
      <c r="F14" s="1" t="s">
        <v>44</v>
      </c>
      <c r="G14" s="1" t="s">
        <v>45</v>
      </c>
      <c r="H14" s="1">
        <v>8</v>
      </c>
      <c r="I14" s="1">
        <v>64</v>
      </c>
      <c r="J14" s="1">
        <v>63</v>
      </c>
      <c r="K14" s="1">
        <v>98.4375</v>
      </c>
      <c r="L14" s="1">
        <v>29</v>
      </c>
      <c r="M14" s="1">
        <v>45.3125</v>
      </c>
      <c r="N14" s="1">
        <v>29</v>
      </c>
      <c r="O14" s="1">
        <v>45.3125</v>
      </c>
      <c r="P14" s="1">
        <v>-8.79206896551724</v>
      </c>
      <c r="Q14" s="1">
        <f t="shared" si="0"/>
        <v>-254.97</v>
      </c>
      <c r="R14" s="1">
        <v>-8.76</v>
      </c>
      <c r="S14" s="1">
        <v>-11.331</v>
      </c>
      <c r="T14" s="1">
        <v>-6.6</v>
      </c>
      <c r="U14" s="1">
        <v>-7.58137931034483</v>
      </c>
      <c r="V14" s="1">
        <v>-7.596</v>
      </c>
      <c r="W14" s="1">
        <v>-7.80262068965517</v>
      </c>
      <c r="X14" s="1">
        <v>-7.62</v>
      </c>
      <c r="Y14" s="1">
        <v>0.156350673662465</v>
      </c>
      <c r="Z14" s="1">
        <v>0.12904717772787</v>
      </c>
      <c r="AA14" s="1">
        <v>0.553650793650794</v>
      </c>
      <c r="AB14" s="1">
        <v>0.57</v>
      </c>
      <c r="AC14" s="1">
        <v>0.158225826336045</v>
      </c>
      <c r="AD14" s="1">
        <v>0.156199335054943</v>
      </c>
      <c r="AE14" s="1">
        <v>0.74250315507343</v>
      </c>
      <c r="AF14" s="1">
        <v>0.804567332981089</v>
      </c>
      <c r="AG14" s="1">
        <v>0.827689957960489</v>
      </c>
      <c r="AH14" s="1">
        <v>0.783579476277275</v>
      </c>
      <c r="AI14" s="1">
        <v>0.809189153704403</v>
      </c>
      <c r="AJ14" s="1">
        <v>0.818529882344583</v>
      </c>
      <c r="AK14" s="1">
        <v>0.806630560870113</v>
      </c>
      <c r="AL14" s="1">
        <v>0.815718964638132</v>
      </c>
      <c r="AM14" s="1">
        <v>0.273361396295004</v>
      </c>
      <c r="AN14" s="1">
        <v>0.623003665014363</v>
      </c>
      <c r="AO14" s="1">
        <v>11</v>
      </c>
    </row>
    <row r="15" s="1" customFormat="1" spans="1:41">
      <c r="A15" s="1" t="s">
        <v>71</v>
      </c>
      <c r="B15" s="1" t="s">
        <v>84</v>
      </c>
      <c r="C15" s="1">
        <v>1132.48771</v>
      </c>
      <c r="D15" s="1" t="s">
        <v>85</v>
      </c>
      <c r="E15" s="1" t="s">
        <v>86</v>
      </c>
      <c r="F15" s="1" t="s">
        <v>44</v>
      </c>
      <c r="G15" s="1" t="s">
        <v>45</v>
      </c>
      <c r="H15" s="1">
        <v>8</v>
      </c>
      <c r="I15" s="1">
        <v>64</v>
      </c>
      <c r="J15" s="1">
        <v>64</v>
      </c>
      <c r="K15" s="1">
        <v>100</v>
      </c>
      <c r="L15" s="1">
        <v>39</v>
      </c>
      <c r="M15" s="1">
        <v>60.9375</v>
      </c>
      <c r="N15" s="1">
        <v>39</v>
      </c>
      <c r="O15" s="1">
        <v>60.9375</v>
      </c>
      <c r="P15" s="1">
        <v>-9.78992307692307</v>
      </c>
      <c r="Q15" s="1">
        <f t="shared" si="0"/>
        <v>-381.807</v>
      </c>
      <c r="R15" s="1">
        <v>-9.569</v>
      </c>
      <c r="S15" s="1">
        <v>-14.112</v>
      </c>
      <c r="T15" s="1">
        <v>-6.986</v>
      </c>
      <c r="U15" s="1">
        <v>15.2268205128205</v>
      </c>
      <c r="V15" s="1">
        <v>10.606</v>
      </c>
      <c r="W15" s="1">
        <v>7.83987179487179</v>
      </c>
      <c r="X15" s="1">
        <v>5.316</v>
      </c>
      <c r="Y15" s="1">
        <v>0.201098770822525</v>
      </c>
      <c r="Z15" s="1">
        <v>0.187896669572156</v>
      </c>
      <c r="AA15" s="1">
        <v>0.6140625</v>
      </c>
      <c r="AB15" s="1">
        <v>0.61</v>
      </c>
      <c r="AC15" s="1">
        <v>0.271093584837278</v>
      </c>
      <c r="AD15" s="1">
        <v>0.278756196784632</v>
      </c>
      <c r="AE15" s="1">
        <v>0.736177497778187</v>
      </c>
      <c r="AF15" s="1">
        <v>0.797369607794639</v>
      </c>
      <c r="AG15" s="1">
        <v>0.722302936785485</v>
      </c>
      <c r="AH15" s="1">
        <v>0.802890870965245</v>
      </c>
      <c r="AI15" s="1">
        <v>0.817410813994679</v>
      </c>
      <c r="AJ15" s="1" t="s">
        <v>49</v>
      </c>
      <c r="AK15" s="1">
        <v>0.810294868406856</v>
      </c>
      <c r="AL15" s="1">
        <v>0.821200256497602</v>
      </c>
      <c r="AM15" s="1">
        <v>0.298645284810225</v>
      </c>
      <c r="AN15" s="1">
        <v>0.624291563011887</v>
      </c>
      <c r="AO15" s="1">
        <v>12</v>
      </c>
    </row>
    <row r="16" s="1" customFormat="1" spans="1:41">
      <c r="A16" s="1" t="s">
        <v>71</v>
      </c>
      <c r="B16" s="1" t="s">
        <v>87</v>
      </c>
      <c r="C16" s="1">
        <v>1223.541774</v>
      </c>
      <c r="D16" s="1" t="s">
        <v>88</v>
      </c>
      <c r="E16" s="1" t="s">
        <v>89</v>
      </c>
      <c r="F16" s="1" t="s">
        <v>44</v>
      </c>
      <c r="G16" s="1" t="s">
        <v>45</v>
      </c>
      <c r="H16" s="1">
        <v>8</v>
      </c>
      <c r="I16" s="1">
        <v>64</v>
      </c>
      <c r="J16" s="1">
        <v>63</v>
      </c>
      <c r="K16" s="1">
        <v>98.4375</v>
      </c>
      <c r="L16" s="1">
        <v>42</v>
      </c>
      <c r="M16" s="1">
        <v>65.625</v>
      </c>
      <c r="N16" s="1">
        <v>42</v>
      </c>
      <c r="O16" s="1">
        <v>65.625</v>
      </c>
      <c r="P16" s="1">
        <v>-8.51404761904762</v>
      </c>
      <c r="Q16" s="1">
        <f t="shared" si="0"/>
        <v>-357.59</v>
      </c>
      <c r="R16" s="1">
        <v>-8.6215</v>
      </c>
      <c r="S16" s="1">
        <v>-10.831</v>
      </c>
      <c r="T16" s="1">
        <v>-5.423</v>
      </c>
      <c r="U16" s="1">
        <v>-6.52461904761905</v>
      </c>
      <c r="V16" s="1">
        <v>-6.486</v>
      </c>
      <c r="W16" s="1">
        <v>-7.28309523809524</v>
      </c>
      <c r="X16" s="1">
        <v>-7.2775</v>
      </c>
      <c r="Y16" s="1">
        <v>0.243451007480629</v>
      </c>
      <c r="Z16" s="1">
        <v>0.231038810232881</v>
      </c>
      <c r="AA16" s="1">
        <v>0.60031746031746</v>
      </c>
      <c r="AB16" s="1">
        <v>0.58</v>
      </c>
      <c r="AC16" s="1">
        <v>0.210005616096161</v>
      </c>
      <c r="AD16" s="1">
        <v>0.198355715804737</v>
      </c>
      <c r="AE16" s="1">
        <v>0.767033788279713</v>
      </c>
      <c r="AF16" s="1">
        <v>0.811820002556984</v>
      </c>
      <c r="AG16" s="1">
        <v>0.817576795867242</v>
      </c>
      <c r="AH16" s="1">
        <v>0.771895943944723</v>
      </c>
      <c r="AI16" s="1">
        <v>0.810789086582256</v>
      </c>
      <c r="AJ16" s="1">
        <v>0.80451349724907</v>
      </c>
      <c r="AK16" s="1">
        <v>0.812374376862707</v>
      </c>
      <c r="AL16" s="1">
        <v>0.816406344328031</v>
      </c>
      <c r="AM16" s="1">
        <v>0.310092617353548</v>
      </c>
      <c r="AN16" s="1">
        <v>0.680929327526319</v>
      </c>
      <c r="AO16" s="1">
        <v>13</v>
      </c>
    </row>
    <row r="17" s="1" customFormat="1" spans="1:41">
      <c r="A17" s="1" t="s">
        <v>71</v>
      </c>
      <c r="B17" s="1" t="s">
        <v>90</v>
      </c>
      <c r="C17" s="1">
        <v>849.887047</v>
      </c>
      <c r="D17" s="1" t="s">
        <v>91</v>
      </c>
      <c r="E17" s="1" t="s">
        <v>92</v>
      </c>
      <c r="F17" s="1" t="s">
        <v>44</v>
      </c>
      <c r="G17" s="1" t="s">
        <v>45</v>
      </c>
      <c r="H17" s="1">
        <v>8</v>
      </c>
      <c r="I17" s="1">
        <v>64</v>
      </c>
      <c r="J17" s="1">
        <v>64</v>
      </c>
      <c r="K17" s="1">
        <v>100</v>
      </c>
      <c r="L17" s="1">
        <v>50</v>
      </c>
      <c r="M17" s="1">
        <v>78.125</v>
      </c>
      <c r="N17" s="1">
        <v>50</v>
      </c>
      <c r="O17" s="1">
        <v>78.125</v>
      </c>
      <c r="P17" s="1">
        <v>-6.72176</v>
      </c>
      <c r="Q17" s="1">
        <f t="shared" si="0"/>
        <v>-336.088</v>
      </c>
      <c r="R17" s="1">
        <v>-6.8355</v>
      </c>
      <c r="S17" s="1">
        <v>-9.122</v>
      </c>
      <c r="T17" s="1">
        <v>-4.834</v>
      </c>
      <c r="U17" s="1">
        <v>-4.55412</v>
      </c>
      <c r="V17" s="1">
        <v>-4.4625</v>
      </c>
      <c r="W17" s="1">
        <v>-5.03328</v>
      </c>
      <c r="X17" s="1">
        <v>-4.9225</v>
      </c>
      <c r="Y17" s="1">
        <v>0.421570679659515</v>
      </c>
      <c r="Z17" s="1">
        <v>0.412721321261848</v>
      </c>
      <c r="AA17" s="1">
        <v>0.62671875</v>
      </c>
      <c r="AB17" s="1">
        <v>0.62</v>
      </c>
      <c r="AC17" s="1">
        <v>0.219041229875627</v>
      </c>
      <c r="AD17" s="1">
        <v>0.214570400126965</v>
      </c>
      <c r="AE17" s="1">
        <v>0.747462006773891</v>
      </c>
      <c r="AF17" s="1">
        <v>0.80994773659065</v>
      </c>
      <c r="AG17" s="1">
        <v>0.786197056757891</v>
      </c>
      <c r="AH17" s="1">
        <v>0.798138151812219</v>
      </c>
      <c r="AI17" s="1">
        <v>0.812839851736914</v>
      </c>
      <c r="AJ17" s="1" t="s">
        <v>49</v>
      </c>
      <c r="AK17" s="1">
        <v>0.814554582553633</v>
      </c>
      <c r="AL17" s="1">
        <v>0.823543741767535</v>
      </c>
      <c r="AM17" s="1">
        <v>0.323175132096566</v>
      </c>
      <c r="AN17" s="1">
        <v>0.644964472804698</v>
      </c>
      <c r="AO17" s="1">
        <v>15</v>
      </c>
    </row>
    <row r="18" s="1" customFormat="1" spans="1:41">
      <c r="A18" s="1" t="s">
        <v>71</v>
      </c>
      <c r="B18" s="1" t="s">
        <v>93</v>
      </c>
      <c r="C18" s="1">
        <v>841.091635</v>
      </c>
      <c r="D18" s="1" t="s">
        <v>94</v>
      </c>
      <c r="E18" s="1" t="s">
        <v>95</v>
      </c>
      <c r="F18" s="1" t="s">
        <v>44</v>
      </c>
      <c r="G18" s="1" t="s">
        <v>45</v>
      </c>
      <c r="H18" s="1">
        <v>8</v>
      </c>
      <c r="I18" s="1">
        <v>64</v>
      </c>
      <c r="J18" s="1">
        <v>61</v>
      </c>
      <c r="K18" s="1">
        <v>95.3125</v>
      </c>
      <c r="L18" s="1">
        <v>26</v>
      </c>
      <c r="M18" s="1">
        <v>40.625</v>
      </c>
      <c r="N18" s="1">
        <v>26</v>
      </c>
      <c r="O18" s="1">
        <v>40.625</v>
      </c>
      <c r="P18" s="1">
        <v>-8.05419230769231</v>
      </c>
      <c r="Q18" s="1">
        <f t="shared" si="0"/>
        <v>-209.409</v>
      </c>
      <c r="R18" s="1">
        <v>-7.902</v>
      </c>
      <c r="S18" s="1">
        <v>-11.104</v>
      </c>
      <c r="T18" s="1">
        <v>-6.094</v>
      </c>
      <c r="U18" s="1">
        <v>-6.45119230769231</v>
      </c>
      <c r="V18" s="1">
        <v>-6.084</v>
      </c>
      <c r="W18" s="1">
        <v>-6.67026923076923</v>
      </c>
      <c r="X18" s="1">
        <v>-6.533</v>
      </c>
      <c r="Y18" s="1">
        <v>0.185761928325362</v>
      </c>
      <c r="Z18" s="1">
        <v>0.144619398055941</v>
      </c>
      <c r="AA18" s="1">
        <v>0.552950819672131</v>
      </c>
      <c r="AB18" s="1">
        <v>0.55</v>
      </c>
      <c r="AC18" s="1">
        <v>0.20863925424899</v>
      </c>
      <c r="AD18" s="1">
        <v>0.193708550761332</v>
      </c>
      <c r="AE18" s="1">
        <v>0.738033728299795</v>
      </c>
      <c r="AF18" s="1">
        <v>0.798490932325577</v>
      </c>
      <c r="AG18" s="1">
        <v>0.792790928111275</v>
      </c>
      <c r="AH18" s="1">
        <v>0.800286492267427</v>
      </c>
      <c r="AI18" s="1">
        <v>0.820663726676441</v>
      </c>
      <c r="AJ18" s="1">
        <v>0.810793305397394</v>
      </c>
      <c r="AK18" s="1">
        <v>0.812140728867337</v>
      </c>
      <c r="AL18" s="1">
        <v>0.81626423623386</v>
      </c>
      <c r="AM18" s="1">
        <v>0.262159506181131</v>
      </c>
      <c r="AN18" s="1">
        <v>0.623806164055715</v>
      </c>
      <c r="AO18" s="1">
        <v>17</v>
      </c>
    </row>
    <row r="19" s="1" customFormat="1" spans="1:41">
      <c r="A19" s="1" t="s">
        <v>71</v>
      </c>
      <c r="B19" s="1" t="s">
        <v>96</v>
      </c>
      <c r="C19" s="1">
        <v>745.40579</v>
      </c>
      <c r="D19" s="1" t="s">
        <v>97</v>
      </c>
      <c r="E19" s="1" t="s">
        <v>98</v>
      </c>
      <c r="F19" s="1" t="s">
        <v>44</v>
      </c>
      <c r="G19" s="1" t="s">
        <v>45</v>
      </c>
      <c r="H19" s="1">
        <v>8</v>
      </c>
      <c r="I19" s="1">
        <v>64</v>
      </c>
      <c r="J19" s="1">
        <v>64</v>
      </c>
      <c r="K19" s="1">
        <v>100</v>
      </c>
      <c r="L19" s="1">
        <v>23</v>
      </c>
      <c r="M19" s="1">
        <v>35.9375</v>
      </c>
      <c r="N19" s="1">
        <v>23</v>
      </c>
      <c r="O19" s="1">
        <v>35.9375</v>
      </c>
      <c r="P19" s="1">
        <v>-6.19765217391304</v>
      </c>
      <c r="Q19" s="1">
        <f t="shared" si="0"/>
        <v>-142.546</v>
      </c>
      <c r="R19" s="1">
        <v>-6.067</v>
      </c>
      <c r="S19" s="1">
        <v>-8.325</v>
      </c>
      <c r="T19" s="1">
        <v>-4.684</v>
      </c>
      <c r="U19" s="1">
        <v>-4.64534782608696</v>
      </c>
      <c r="V19" s="1">
        <v>-4.537</v>
      </c>
      <c r="W19" s="1">
        <v>-4.98947826086957</v>
      </c>
      <c r="X19" s="1">
        <v>-4.82</v>
      </c>
      <c r="Y19" s="1">
        <v>0.279431546738455</v>
      </c>
      <c r="Z19" s="1">
        <v>0.257425841354544</v>
      </c>
      <c r="AA19" s="1">
        <v>0.66015873015873</v>
      </c>
      <c r="AB19" s="1">
        <v>0.67</v>
      </c>
      <c r="AC19" s="1">
        <v>0.184110487230701</v>
      </c>
      <c r="AD19" s="1">
        <v>0.181383819080638</v>
      </c>
      <c r="AE19" s="1">
        <v>0.730251602229691</v>
      </c>
      <c r="AF19" s="1">
        <v>0.794887313413725</v>
      </c>
      <c r="AG19" s="1">
        <v>0.803209087915442</v>
      </c>
      <c r="AH19" s="1">
        <v>0.79564881737872</v>
      </c>
      <c r="AI19" s="1">
        <v>0.81771064486628</v>
      </c>
      <c r="AJ19" s="1">
        <v>0.805169002877384</v>
      </c>
      <c r="AK19" s="1">
        <v>0.799958859583875</v>
      </c>
      <c r="AL19" s="1">
        <v>0.816259160031454</v>
      </c>
      <c r="AM19" s="1">
        <v>0.29270527250442</v>
      </c>
      <c r="AN19" s="1">
        <v>0.590817085649348</v>
      </c>
      <c r="AO19" s="1">
        <v>18</v>
      </c>
    </row>
    <row r="20" s="1" customFormat="1" spans="1:41">
      <c r="A20" s="1" t="s">
        <v>71</v>
      </c>
      <c r="B20" s="1" t="s">
        <v>99</v>
      </c>
      <c r="C20" s="1">
        <v>1492.016929</v>
      </c>
      <c r="D20" s="1" t="s">
        <v>100</v>
      </c>
      <c r="E20" s="1" t="s">
        <v>101</v>
      </c>
      <c r="F20" s="1" t="s">
        <v>44</v>
      </c>
      <c r="G20" s="1" t="s">
        <v>45</v>
      </c>
      <c r="H20" s="1">
        <v>8</v>
      </c>
      <c r="I20" s="1">
        <v>64</v>
      </c>
      <c r="J20" s="1">
        <v>64</v>
      </c>
      <c r="K20" s="1">
        <v>100</v>
      </c>
      <c r="L20" s="1">
        <v>38</v>
      </c>
      <c r="M20" s="1">
        <v>59.375</v>
      </c>
      <c r="N20" s="1">
        <v>38</v>
      </c>
      <c r="O20" s="1">
        <v>59.375</v>
      </c>
      <c r="P20" s="1">
        <v>-9.05652631578947</v>
      </c>
      <c r="Q20" s="1">
        <f t="shared" si="0"/>
        <v>-344.148</v>
      </c>
      <c r="R20" s="1">
        <v>-8.9555</v>
      </c>
      <c r="S20" s="1">
        <v>-11.146</v>
      </c>
      <c r="T20" s="1">
        <v>-7.412</v>
      </c>
      <c r="U20" s="1">
        <v>-7.32834210526316</v>
      </c>
      <c r="V20" s="1">
        <v>-7.378</v>
      </c>
      <c r="W20" s="1">
        <v>-7.62247368421053</v>
      </c>
      <c r="X20" s="1">
        <v>-7.633</v>
      </c>
      <c r="Y20" s="1">
        <v>0.232653089779781</v>
      </c>
      <c r="Z20" s="1">
        <v>0.196215392813622</v>
      </c>
      <c r="AA20" s="1">
        <v>0.5934375</v>
      </c>
      <c r="AB20" s="1">
        <v>0.585</v>
      </c>
      <c r="AC20" s="1">
        <v>0.153675701515314</v>
      </c>
      <c r="AD20" s="1">
        <v>0.146596147840184</v>
      </c>
      <c r="AE20" s="1">
        <v>0.723943831821077</v>
      </c>
      <c r="AF20" s="1">
        <v>0.807776289421539</v>
      </c>
      <c r="AG20" s="1" t="s">
        <v>49</v>
      </c>
      <c r="AH20" s="1">
        <v>0.796248488100003</v>
      </c>
      <c r="AI20" s="1">
        <v>0.806623137687928</v>
      </c>
      <c r="AJ20" s="1" t="s">
        <v>49</v>
      </c>
      <c r="AK20" s="1">
        <v>0.804653283043353</v>
      </c>
      <c r="AL20" s="1">
        <v>0.807027702783033</v>
      </c>
      <c r="AM20" s="1">
        <v>0.26311012616593</v>
      </c>
      <c r="AN20" s="1">
        <v>0.604728150748071</v>
      </c>
      <c r="AO20" s="1">
        <v>19</v>
      </c>
    </row>
    <row r="21" s="1" customFormat="1" spans="1:41">
      <c r="A21" s="1" t="s">
        <v>71</v>
      </c>
      <c r="B21" s="1" t="s">
        <v>102</v>
      </c>
      <c r="C21" s="1">
        <v>1085.677178</v>
      </c>
      <c r="D21" s="1" t="s">
        <v>103</v>
      </c>
      <c r="E21" s="1" t="s">
        <v>104</v>
      </c>
      <c r="F21" s="1" t="s">
        <v>44</v>
      </c>
      <c r="G21" s="1" t="s">
        <v>45</v>
      </c>
      <c r="H21" s="1">
        <v>8</v>
      </c>
      <c r="I21" s="1">
        <v>64</v>
      </c>
      <c r="J21" s="1">
        <v>64</v>
      </c>
      <c r="K21" s="1">
        <v>100</v>
      </c>
      <c r="L21" s="1">
        <v>28</v>
      </c>
      <c r="M21" s="1">
        <v>43.75</v>
      </c>
      <c r="N21" s="1">
        <v>28</v>
      </c>
      <c r="O21" s="1">
        <v>43.75</v>
      </c>
      <c r="P21" s="1">
        <v>-7.78492857142857</v>
      </c>
      <c r="Q21" s="1">
        <f t="shared" si="0"/>
        <v>-217.978</v>
      </c>
      <c r="R21" s="1">
        <v>-7.8855</v>
      </c>
      <c r="S21" s="1">
        <v>-10.477</v>
      </c>
      <c r="T21" s="1">
        <v>-5.403</v>
      </c>
      <c r="U21" s="1">
        <v>-5.51064285714286</v>
      </c>
      <c r="V21" s="1">
        <v>-5.4385</v>
      </c>
      <c r="W21" s="1">
        <v>-5.66632142857143</v>
      </c>
      <c r="X21" s="1">
        <v>-5.5865</v>
      </c>
      <c r="Y21" s="1">
        <v>0.239892369555318</v>
      </c>
      <c r="Z21" s="1">
        <v>0.207626875060724</v>
      </c>
      <c r="AA21" s="1">
        <v>0.58359375</v>
      </c>
      <c r="AB21" s="1">
        <v>0.57</v>
      </c>
      <c r="AC21" s="1">
        <v>0.156666543775802</v>
      </c>
      <c r="AD21" s="1">
        <v>0.150163412346908</v>
      </c>
      <c r="AE21" s="1">
        <v>0.738161103208681</v>
      </c>
      <c r="AF21" s="1">
        <v>0.808597727421116</v>
      </c>
      <c r="AG21" s="1">
        <v>0.832278186341058</v>
      </c>
      <c r="AH21" s="1">
        <v>0.783900452557907</v>
      </c>
      <c r="AI21" s="1">
        <v>0.810664521978012</v>
      </c>
      <c r="AJ21" s="1">
        <v>0.76173301456171</v>
      </c>
      <c r="AK21" s="1">
        <v>0.814435931765576</v>
      </c>
      <c r="AL21" s="1">
        <v>0.803985421414217</v>
      </c>
      <c r="AM21" s="1">
        <v>0.311415758151992</v>
      </c>
      <c r="AN21" s="1">
        <v>0.626003220022684</v>
      </c>
      <c r="AO21" s="1">
        <v>2</v>
      </c>
    </row>
    <row r="22" s="1" customFormat="1" spans="1:41">
      <c r="A22" s="1" t="s">
        <v>71</v>
      </c>
      <c r="B22" s="1" t="s">
        <v>105</v>
      </c>
      <c r="C22" s="1">
        <v>1175.931767</v>
      </c>
      <c r="D22" s="1" t="s">
        <v>106</v>
      </c>
      <c r="E22" s="1" t="s">
        <v>107</v>
      </c>
      <c r="F22" s="1" t="s">
        <v>44</v>
      </c>
      <c r="G22" s="1" t="s">
        <v>45</v>
      </c>
      <c r="H22" s="1">
        <v>8</v>
      </c>
      <c r="I22" s="1">
        <v>64</v>
      </c>
      <c r="J22" s="1">
        <v>61</v>
      </c>
      <c r="K22" s="1">
        <v>95.3125</v>
      </c>
      <c r="L22" s="1">
        <v>43</v>
      </c>
      <c r="M22" s="1">
        <v>67.1875</v>
      </c>
      <c r="N22" s="1">
        <v>43</v>
      </c>
      <c r="O22" s="1">
        <v>67.1875</v>
      </c>
      <c r="P22" s="1">
        <v>-8.77655813953488</v>
      </c>
      <c r="Q22" s="1">
        <f t="shared" si="0"/>
        <v>-377.392</v>
      </c>
      <c r="R22" s="1">
        <v>-9.007</v>
      </c>
      <c r="S22" s="1">
        <v>-11.538</v>
      </c>
      <c r="T22" s="1">
        <v>-6.204</v>
      </c>
      <c r="U22" s="1">
        <v>-6.20595348837209</v>
      </c>
      <c r="V22" s="1">
        <v>-6.541</v>
      </c>
      <c r="W22" s="1">
        <v>-6.69227906976744</v>
      </c>
      <c r="X22" s="1">
        <v>-6.556</v>
      </c>
      <c r="Y22" s="1">
        <v>0.286445193629186</v>
      </c>
      <c r="Z22" s="1">
        <v>0.264365384785702</v>
      </c>
      <c r="AA22" s="1">
        <v>0.651639344262295</v>
      </c>
      <c r="AB22" s="1">
        <v>0.64</v>
      </c>
      <c r="AC22" s="1">
        <v>0.269896531219484</v>
      </c>
      <c r="AD22" s="1">
        <v>0.260685576001006</v>
      </c>
      <c r="AE22" s="1">
        <v>0.727078223267256</v>
      </c>
      <c r="AF22" s="1">
        <v>0.795101058692181</v>
      </c>
      <c r="AG22" s="1">
        <v>0.793583924642135</v>
      </c>
      <c r="AH22" s="1">
        <v>0.797638007432085</v>
      </c>
      <c r="AI22" s="1">
        <v>0.824960479263141</v>
      </c>
      <c r="AJ22" s="1">
        <v>0.832526034136593</v>
      </c>
      <c r="AK22" s="1">
        <v>0.813648708696195</v>
      </c>
      <c r="AL22" s="1">
        <v>0.81282193185102</v>
      </c>
      <c r="AM22" s="1">
        <v>0.320792548441876</v>
      </c>
      <c r="AN22" s="1">
        <v>0.605487686897752</v>
      </c>
      <c r="AO22" s="1">
        <v>21</v>
      </c>
    </row>
    <row r="23" s="1" customFormat="1" spans="1:41">
      <c r="A23" s="1" t="s">
        <v>71</v>
      </c>
      <c r="B23" s="1" t="s">
        <v>108</v>
      </c>
      <c r="C23" s="1">
        <v>568.639922</v>
      </c>
      <c r="D23" s="1" t="s">
        <v>109</v>
      </c>
      <c r="E23" s="1" t="s">
        <v>110</v>
      </c>
      <c r="F23" s="1" t="s">
        <v>44</v>
      </c>
      <c r="G23" s="1" t="s">
        <v>45</v>
      </c>
      <c r="H23" s="1">
        <v>8</v>
      </c>
      <c r="I23" s="1">
        <v>64</v>
      </c>
      <c r="J23" s="1">
        <v>63</v>
      </c>
      <c r="K23" s="1">
        <v>98.4375</v>
      </c>
      <c r="L23" s="1">
        <v>43</v>
      </c>
      <c r="M23" s="1">
        <v>67.1875</v>
      </c>
      <c r="N23" s="1">
        <v>43</v>
      </c>
      <c r="O23" s="1">
        <v>67.1875</v>
      </c>
      <c r="P23" s="1">
        <v>-6.65946511627907</v>
      </c>
      <c r="Q23" s="1">
        <f t="shared" si="0"/>
        <v>-286.357</v>
      </c>
      <c r="R23" s="1">
        <v>-6.624</v>
      </c>
      <c r="S23" s="1">
        <v>-8.697</v>
      </c>
      <c r="T23" s="1">
        <v>-5.499</v>
      </c>
      <c r="U23" s="1">
        <v>-4.43632558139535</v>
      </c>
      <c r="V23" s="1">
        <v>-4.517</v>
      </c>
      <c r="W23" s="1">
        <v>-4.71383720930233</v>
      </c>
      <c r="X23" s="1">
        <v>-4.795</v>
      </c>
      <c r="Y23" s="1">
        <v>0.367994988096936</v>
      </c>
      <c r="Z23" s="1">
        <v>0.356610769027595</v>
      </c>
      <c r="AA23" s="1">
        <v>0.673809523809524</v>
      </c>
      <c r="AB23" s="1">
        <v>0.69</v>
      </c>
      <c r="AC23" s="1">
        <v>0.245936322091552</v>
      </c>
      <c r="AD23" s="1">
        <v>0.245042433253394</v>
      </c>
      <c r="AE23" s="1">
        <v>0.757769007436645</v>
      </c>
      <c r="AF23" s="1">
        <v>0.812689167554075</v>
      </c>
      <c r="AG23" s="1" t="s">
        <v>49</v>
      </c>
      <c r="AH23" s="1">
        <v>0.810018659616753</v>
      </c>
      <c r="AI23" s="1">
        <v>0.832554611157698</v>
      </c>
      <c r="AJ23" s="1" t="s">
        <v>49</v>
      </c>
      <c r="AK23" s="1">
        <v>0.805741055100517</v>
      </c>
      <c r="AL23" s="1">
        <v>0.819380552322508</v>
      </c>
      <c r="AM23" s="1">
        <v>0.3868881251996</v>
      </c>
      <c r="AN23" s="1">
        <v>0.640784610158943</v>
      </c>
      <c r="AO23" s="1">
        <v>23</v>
      </c>
    </row>
    <row r="24" s="1" customFormat="1" spans="1:41">
      <c r="A24" s="1" t="s">
        <v>71</v>
      </c>
      <c r="B24" s="1" t="s">
        <v>111</v>
      </c>
      <c r="C24" s="1">
        <v>536.835688</v>
      </c>
      <c r="D24" s="1" t="s">
        <v>112</v>
      </c>
      <c r="E24" s="1" t="s">
        <v>113</v>
      </c>
      <c r="F24" s="1" t="s">
        <v>44</v>
      </c>
      <c r="G24" s="1" t="s">
        <v>45</v>
      </c>
      <c r="H24" s="1">
        <v>8</v>
      </c>
      <c r="I24" s="1">
        <v>64</v>
      </c>
      <c r="J24" s="1">
        <v>64</v>
      </c>
      <c r="K24" s="1">
        <v>100</v>
      </c>
      <c r="L24" s="1">
        <v>18</v>
      </c>
      <c r="M24" s="1">
        <v>28.125</v>
      </c>
      <c r="N24" s="1">
        <v>18</v>
      </c>
      <c r="O24" s="1">
        <v>28.125</v>
      </c>
      <c r="P24" s="1">
        <v>-9.19127777777778</v>
      </c>
      <c r="Q24" s="1">
        <f t="shared" si="0"/>
        <v>-165.443</v>
      </c>
      <c r="R24" s="1">
        <v>-9.711</v>
      </c>
      <c r="S24" s="1">
        <v>-10.885</v>
      </c>
      <c r="T24" s="1">
        <v>-6.521</v>
      </c>
      <c r="U24" s="1">
        <v>-7.20166666666667</v>
      </c>
      <c r="V24" s="1">
        <v>-7.0875</v>
      </c>
      <c r="W24" s="1">
        <v>-7.25777777777778</v>
      </c>
      <c r="X24" s="1">
        <v>-7.225</v>
      </c>
      <c r="Y24" s="1">
        <v>0.228490088966985</v>
      </c>
      <c r="Z24" s="1">
        <v>0.212760195364947</v>
      </c>
      <c r="AA24" s="1">
        <v>0.59390625</v>
      </c>
      <c r="AB24" s="1">
        <v>0.6</v>
      </c>
      <c r="AC24" s="1">
        <v>0.26091596092546</v>
      </c>
      <c r="AD24" s="1">
        <v>0.274386547210924</v>
      </c>
      <c r="AE24" s="1">
        <v>0.729091190052771</v>
      </c>
      <c r="AF24" s="1">
        <v>0.782086878764392</v>
      </c>
      <c r="AG24" s="1">
        <v>0.794105930687042</v>
      </c>
      <c r="AH24" s="1">
        <v>0.807915866288868</v>
      </c>
      <c r="AI24" s="1">
        <v>0.786480634936338</v>
      </c>
      <c r="AJ24" s="1">
        <v>0.825978020850053</v>
      </c>
      <c r="AK24" s="1">
        <v>0.816433944133039</v>
      </c>
      <c r="AL24" s="1">
        <v>0.798970388282627</v>
      </c>
      <c r="AM24" s="1">
        <v>0.253401365330154</v>
      </c>
      <c r="AN24" s="1">
        <v>0.598239033150332</v>
      </c>
      <c r="AO24" s="1">
        <v>24</v>
      </c>
    </row>
    <row r="25" s="1" customFormat="1" spans="1:41">
      <c r="A25" s="1" t="s">
        <v>71</v>
      </c>
      <c r="B25" s="1" t="s">
        <v>114</v>
      </c>
      <c r="C25" s="1">
        <v>537.07374</v>
      </c>
      <c r="D25" s="1" t="s">
        <v>115</v>
      </c>
      <c r="E25" s="1" t="s">
        <v>116</v>
      </c>
      <c r="F25" s="1" t="s">
        <v>44</v>
      </c>
      <c r="G25" s="1" t="s">
        <v>45</v>
      </c>
      <c r="H25" s="1">
        <v>8</v>
      </c>
      <c r="I25" s="1">
        <v>64</v>
      </c>
      <c r="J25" s="1">
        <v>64</v>
      </c>
      <c r="K25" s="1">
        <v>100</v>
      </c>
      <c r="L25" s="1">
        <v>39</v>
      </c>
      <c r="M25" s="1">
        <v>60.9375</v>
      </c>
      <c r="N25" s="1">
        <v>39</v>
      </c>
      <c r="O25" s="1">
        <v>60.9375</v>
      </c>
      <c r="P25" s="1">
        <v>-6.00569230769231</v>
      </c>
      <c r="Q25" s="1">
        <f t="shared" si="0"/>
        <v>-234.222</v>
      </c>
      <c r="R25" s="1">
        <v>-5.684</v>
      </c>
      <c r="S25" s="1">
        <v>-8.171</v>
      </c>
      <c r="T25" s="1">
        <v>-4.971</v>
      </c>
      <c r="U25" s="1">
        <v>-3.90161538461538</v>
      </c>
      <c r="V25" s="1">
        <v>-3.762</v>
      </c>
      <c r="W25" s="1">
        <v>-4.22279487179487</v>
      </c>
      <c r="X25" s="1">
        <v>-4.01</v>
      </c>
      <c r="Y25" s="1">
        <v>0.409715834919423</v>
      </c>
      <c r="Z25" s="1">
        <v>0.412360455696336</v>
      </c>
      <c r="AA25" s="1">
        <v>0.75140625</v>
      </c>
      <c r="AB25" s="1">
        <v>0.79</v>
      </c>
      <c r="AC25" s="1">
        <v>0.229471713258651</v>
      </c>
      <c r="AD25" s="1">
        <v>0.243819447863183</v>
      </c>
      <c r="AE25" s="1">
        <v>0.757504824831463</v>
      </c>
      <c r="AF25" s="1">
        <v>0.811312051284317</v>
      </c>
      <c r="AG25" s="1">
        <v>0.832554611157698</v>
      </c>
      <c r="AH25" s="1">
        <v>0.799764094359076</v>
      </c>
      <c r="AI25" s="1">
        <v>0.797761630128426</v>
      </c>
      <c r="AJ25" s="1">
        <v>0.771001532719092</v>
      </c>
      <c r="AK25" s="1">
        <v>0.809081573120767</v>
      </c>
      <c r="AL25" s="1">
        <v>0.814547286117014</v>
      </c>
      <c r="AM25" s="1">
        <v>0.40053086708685</v>
      </c>
      <c r="AN25" s="1">
        <v>0.658493862276696</v>
      </c>
      <c r="AO25" s="1">
        <v>3</v>
      </c>
    </row>
    <row r="26" s="1" customFormat="1" spans="1:41">
      <c r="A26" s="1" t="s">
        <v>71</v>
      </c>
      <c r="B26" s="1" t="s">
        <v>117</v>
      </c>
      <c r="C26" s="1">
        <v>1179.015923</v>
      </c>
      <c r="D26" s="1" t="s">
        <v>118</v>
      </c>
      <c r="E26" s="1" t="s">
        <v>119</v>
      </c>
      <c r="F26" s="1" t="s">
        <v>44</v>
      </c>
      <c r="G26" s="1" t="s">
        <v>45</v>
      </c>
      <c r="H26" s="1">
        <v>8</v>
      </c>
      <c r="I26" s="1">
        <v>64</v>
      </c>
      <c r="J26" s="1">
        <v>64</v>
      </c>
      <c r="K26" s="1">
        <v>100</v>
      </c>
      <c r="L26" s="1">
        <v>39</v>
      </c>
      <c r="M26" s="1">
        <v>60.9375</v>
      </c>
      <c r="N26" s="1">
        <v>39</v>
      </c>
      <c r="O26" s="1">
        <v>60.9375</v>
      </c>
      <c r="P26" s="1">
        <v>-8.17015384615384</v>
      </c>
      <c r="Q26" s="1">
        <f t="shared" si="0"/>
        <v>-318.636</v>
      </c>
      <c r="R26" s="1">
        <v>-7.977</v>
      </c>
      <c r="S26" s="1">
        <v>-13.016</v>
      </c>
      <c r="T26" s="1">
        <v>-5.417</v>
      </c>
      <c r="U26" s="1">
        <v>-4.01397435897436</v>
      </c>
      <c r="V26" s="1">
        <v>-5.819</v>
      </c>
      <c r="W26" s="1">
        <v>-6.80241025641026</v>
      </c>
      <c r="X26" s="1">
        <v>-6.744</v>
      </c>
      <c r="Y26" s="1">
        <v>0.292028942285911</v>
      </c>
      <c r="Z26" s="1">
        <v>0.251430820418621</v>
      </c>
      <c r="AA26" s="1">
        <v>0.64484375</v>
      </c>
      <c r="AB26" s="1">
        <v>0.635</v>
      </c>
      <c r="AC26" s="1">
        <v>0.187569108321379</v>
      </c>
      <c r="AD26" s="1">
        <v>0.177495963227522</v>
      </c>
      <c r="AE26" s="1">
        <v>0.754990858399125</v>
      </c>
      <c r="AF26" s="1">
        <v>0.803460686008513</v>
      </c>
      <c r="AG26" s="1">
        <v>0.793114911571196</v>
      </c>
      <c r="AH26" s="1">
        <v>0.798990623630294</v>
      </c>
      <c r="AI26" s="1">
        <v>0.823654856675244</v>
      </c>
      <c r="AJ26" s="1">
        <v>0.796166525372136</v>
      </c>
      <c r="AK26" s="1">
        <v>0.80395063328669</v>
      </c>
      <c r="AL26" s="1">
        <v>0.800299459804383</v>
      </c>
      <c r="AM26" s="1">
        <v>0.324359903170965</v>
      </c>
      <c r="AN26" s="1">
        <v>0.628478115495277</v>
      </c>
      <c r="AO26" s="1">
        <v>6</v>
      </c>
    </row>
    <row r="27" s="1" customFormat="1" spans="1:41">
      <c r="A27" s="1" t="s">
        <v>120</v>
      </c>
      <c r="B27" s="1" t="s">
        <v>121</v>
      </c>
      <c r="C27" s="1">
        <v>1017.695678</v>
      </c>
      <c r="D27" s="1" t="s">
        <v>122</v>
      </c>
      <c r="E27" s="1" t="s">
        <v>123</v>
      </c>
      <c r="F27" s="1" t="s">
        <v>44</v>
      </c>
      <c r="G27" s="1" t="s">
        <v>45</v>
      </c>
      <c r="H27" s="1">
        <v>8</v>
      </c>
      <c r="I27" s="1">
        <v>64</v>
      </c>
      <c r="J27" s="1">
        <v>64</v>
      </c>
      <c r="K27" s="1">
        <v>100</v>
      </c>
      <c r="L27" s="1">
        <v>56</v>
      </c>
      <c r="M27" s="1">
        <v>87.5</v>
      </c>
      <c r="N27" s="1">
        <v>56</v>
      </c>
      <c r="O27" s="1">
        <v>87.5</v>
      </c>
      <c r="P27" s="1">
        <v>-6.36503571428571</v>
      </c>
      <c r="Q27" s="1">
        <f t="shared" si="0"/>
        <v>-356.442</v>
      </c>
      <c r="R27" s="1">
        <v>-6.177</v>
      </c>
      <c r="S27" s="1">
        <v>-10.065</v>
      </c>
      <c r="T27" s="1">
        <v>-4.717</v>
      </c>
      <c r="U27" s="1">
        <v>-4.63219642857143</v>
      </c>
      <c r="V27" s="1">
        <v>-4.4605</v>
      </c>
      <c r="W27" s="1">
        <v>-4.895375</v>
      </c>
      <c r="X27" s="1">
        <v>-4.667</v>
      </c>
      <c r="Y27" s="1">
        <v>0.366627646871134</v>
      </c>
      <c r="Z27" s="1">
        <v>0.342218375025188</v>
      </c>
      <c r="AA27" s="1">
        <v>0.6621875</v>
      </c>
      <c r="AB27" s="1">
        <v>0.65</v>
      </c>
      <c r="AC27" s="1">
        <v>0.207766737462042</v>
      </c>
      <c r="AD27" s="1">
        <v>0.19320180510903</v>
      </c>
      <c r="AE27" s="1">
        <v>0.761943746215785</v>
      </c>
      <c r="AF27" s="1">
        <v>0.809310754006709</v>
      </c>
      <c r="AG27" s="1">
        <v>0.786868760485056</v>
      </c>
      <c r="AH27" s="1">
        <v>0.796700792620601</v>
      </c>
      <c r="AI27" s="1">
        <v>0.817533946318364</v>
      </c>
      <c r="AJ27" s="1">
        <v>0.822067540117239</v>
      </c>
      <c r="AK27" s="1">
        <v>0.809517651029969</v>
      </c>
      <c r="AL27" s="1">
        <v>0.823548700271584</v>
      </c>
      <c r="AM27" s="1">
        <v>0.386991158188895</v>
      </c>
      <c r="AN27" s="1">
        <v>0.654369397301956</v>
      </c>
      <c r="AO27" s="1">
        <v>25</v>
      </c>
    </row>
    <row r="28" s="1" customFormat="1" spans="1:41">
      <c r="A28" s="1" t="s">
        <v>124</v>
      </c>
      <c r="B28" s="1" t="s">
        <v>125</v>
      </c>
      <c r="C28" s="1">
        <v>1686.149858</v>
      </c>
      <c r="D28" s="1" t="s">
        <v>126</v>
      </c>
      <c r="E28" s="1" t="s">
        <v>127</v>
      </c>
      <c r="F28" s="1" t="s">
        <v>44</v>
      </c>
      <c r="G28" s="1" t="s">
        <v>45</v>
      </c>
      <c r="H28" s="1">
        <v>8</v>
      </c>
      <c r="I28" s="1">
        <v>64</v>
      </c>
      <c r="J28" s="1">
        <v>54</v>
      </c>
      <c r="K28" s="1">
        <v>84.375</v>
      </c>
      <c r="L28" s="1">
        <v>42</v>
      </c>
      <c r="M28" s="1">
        <v>65.625</v>
      </c>
      <c r="N28" s="1">
        <v>42</v>
      </c>
      <c r="O28" s="1">
        <v>65.625</v>
      </c>
      <c r="P28" s="1">
        <v>-8.76059523809524</v>
      </c>
      <c r="Q28" s="1">
        <f t="shared" si="0"/>
        <v>-367.945</v>
      </c>
      <c r="R28" s="1">
        <v>-8.8475</v>
      </c>
      <c r="S28" s="1">
        <v>-13.012</v>
      </c>
      <c r="T28" s="1">
        <v>-6.49</v>
      </c>
      <c r="U28" s="1">
        <v>-6.92054761904762</v>
      </c>
      <c r="V28" s="1">
        <v>-6.838</v>
      </c>
      <c r="W28" s="1">
        <v>-7.15919047619048</v>
      </c>
      <c r="X28" s="1">
        <v>-7.1145</v>
      </c>
      <c r="Y28" s="1">
        <v>0.159044102114367</v>
      </c>
      <c r="Z28" s="1">
        <v>0.133167799502831</v>
      </c>
      <c r="AA28" s="1">
        <v>0.523518518518518</v>
      </c>
      <c r="AB28" s="1">
        <v>0.525</v>
      </c>
      <c r="AC28" s="1">
        <v>0.169539453887418</v>
      </c>
      <c r="AD28" s="1">
        <v>0.166248684980222</v>
      </c>
      <c r="AE28" s="1">
        <v>0.740539176901382</v>
      </c>
      <c r="AF28" s="1">
        <v>0.803385555862978</v>
      </c>
      <c r="AG28" s="1">
        <v>0.799962058284999</v>
      </c>
      <c r="AH28" s="1">
        <v>0.782385680836594</v>
      </c>
      <c r="AI28" s="1">
        <v>0.812662576552461</v>
      </c>
      <c r="AJ28" s="1">
        <v>0.796061087489814</v>
      </c>
      <c r="AK28" s="1">
        <v>0.815801891408797</v>
      </c>
      <c r="AL28" s="1">
        <v>0.819736921699124</v>
      </c>
      <c r="AM28" s="1">
        <v>0.272430437210223</v>
      </c>
      <c r="AN28" s="1">
        <v>0.616743646376678</v>
      </c>
      <c r="AO28" s="1">
        <v>26</v>
      </c>
    </row>
    <row r="29" s="1" customFormat="1" spans="1:41">
      <c r="A29" s="1" t="s">
        <v>128</v>
      </c>
      <c r="B29" s="1" t="s">
        <v>129</v>
      </c>
      <c r="C29" s="1">
        <v>1673.558212</v>
      </c>
      <c r="D29" s="1" t="s">
        <v>130</v>
      </c>
      <c r="E29" s="1" t="s">
        <v>131</v>
      </c>
      <c r="F29" s="1" t="s">
        <v>44</v>
      </c>
      <c r="G29" s="1" t="s">
        <v>45</v>
      </c>
      <c r="H29" s="1">
        <v>8</v>
      </c>
      <c r="I29" s="1">
        <v>64</v>
      </c>
      <c r="J29" s="1">
        <v>62</v>
      </c>
      <c r="K29" s="1">
        <v>96.875</v>
      </c>
      <c r="L29" s="1">
        <v>38</v>
      </c>
      <c r="M29" s="1">
        <v>59.375</v>
      </c>
      <c r="N29" s="1">
        <v>38</v>
      </c>
      <c r="O29" s="1">
        <v>59.375</v>
      </c>
      <c r="P29" s="1">
        <v>-9.37165789473684</v>
      </c>
      <c r="Q29" s="1">
        <f t="shared" si="0"/>
        <v>-356.123</v>
      </c>
      <c r="R29" s="1">
        <v>-9.226</v>
      </c>
      <c r="S29" s="1">
        <v>-15.612</v>
      </c>
      <c r="T29" s="1">
        <v>-7.405</v>
      </c>
      <c r="U29" s="1">
        <v>-7.63307894736842</v>
      </c>
      <c r="V29" s="1">
        <v>-7.4655</v>
      </c>
      <c r="W29" s="1">
        <v>-8.08244736842105</v>
      </c>
      <c r="X29" s="1">
        <v>-7.8655</v>
      </c>
      <c r="Y29" s="1">
        <v>0.238716540540004</v>
      </c>
      <c r="Z29" s="1">
        <v>0.220229534505495</v>
      </c>
      <c r="AA29" s="1">
        <v>0.592258064516129</v>
      </c>
      <c r="AB29" s="1">
        <v>0.585</v>
      </c>
      <c r="AC29" s="1">
        <v>0.166485402238589</v>
      </c>
      <c r="AD29" s="1">
        <v>0.161789686872065</v>
      </c>
      <c r="AE29" s="1">
        <v>0.723767261820165</v>
      </c>
      <c r="AF29" s="1">
        <v>0.79623409760316</v>
      </c>
      <c r="AG29" s="1">
        <v>0.776907085411007</v>
      </c>
      <c r="AH29" s="1">
        <v>0.794492618678182</v>
      </c>
      <c r="AI29" s="1">
        <v>0.817582406479752</v>
      </c>
      <c r="AJ29" s="1">
        <v>0.821658023973155</v>
      </c>
      <c r="AK29" s="1">
        <v>0.811042073962575</v>
      </c>
      <c r="AL29" s="1">
        <v>0.814981589261537</v>
      </c>
      <c r="AM29" s="1">
        <v>0.284441330750331</v>
      </c>
      <c r="AN29" s="1">
        <v>0.610719513356473</v>
      </c>
      <c r="AO29" s="1">
        <v>27</v>
      </c>
    </row>
    <row r="30" s="1" customFormat="1" spans="1:41">
      <c r="A30" s="1" t="s">
        <v>132</v>
      </c>
      <c r="B30" s="1" t="s">
        <v>133</v>
      </c>
      <c r="C30" s="1">
        <v>727.867039</v>
      </c>
      <c r="D30" s="1" t="s">
        <v>134</v>
      </c>
      <c r="E30" s="1" t="s">
        <v>135</v>
      </c>
      <c r="F30" s="1" t="s">
        <v>44</v>
      </c>
      <c r="G30" s="1" t="s">
        <v>45</v>
      </c>
      <c r="H30" s="1">
        <v>8</v>
      </c>
      <c r="I30" s="1">
        <v>64</v>
      </c>
      <c r="J30" s="1">
        <v>63</v>
      </c>
      <c r="K30" s="1">
        <v>98.4375</v>
      </c>
      <c r="L30" s="1">
        <v>40</v>
      </c>
      <c r="M30" s="1">
        <v>62.5</v>
      </c>
      <c r="N30" s="1">
        <v>40</v>
      </c>
      <c r="O30" s="1">
        <v>62.5</v>
      </c>
      <c r="P30" s="1">
        <v>-5.766625</v>
      </c>
      <c r="Q30" s="1">
        <f t="shared" si="0"/>
        <v>-230.665</v>
      </c>
      <c r="R30" s="1">
        <v>-5.7435</v>
      </c>
      <c r="S30" s="1">
        <v>-7.843</v>
      </c>
      <c r="T30" s="1">
        <v>-4.118</v>
      </c>
      <c r="U30" s="1">
        <v>-2.947775</v>
      </c>
      <c r="V30" s="1">
        <v>-2.8935</v>
      </c>
      <c r="W30" s="1">
        <v>-3.307275</v>
      </c>
      <c r="X30" s="1">
        <v>-3.2535</v>
      </c>
      <c r="Y30" s="1">
        <v>0.419987315592762</v>
      </c>
      <c r="Z30" s="1">
        <v>0.408659341428571</v>
      </c>
      <c r="AA30" s="1">
        <v>0.663015873015873</v>
      </c>
      <c r="AB30" s="1">
        <v>0.66</v>
      </c>
      <c r="AC30" s="1">
        <v>0.246470927675668</v>
      </c>
      <c r="AD30" s="1">
        <v>0.253622333208371</v>
      </c>
      <c r="AE30" s="1">
        <v>0.753464142427001</v>
      </c>
      <c r="AF30" s="1">
        <v>0.803088514810847</v>
      </c>
      <c r="AG30" s="1">
        <v>0.774996227992218</v>
      </c>
      <c r="AH30" s="1">
        <v>0.807870253056461</v>
      </c>
      <c r="AI30" s="1">
        <v>0.809460285977339</v>
      </c>
      <c r="AJ30" s="1" t="s">
        <v>49</v>
      </c>
      <c r="AK30" s="1">
        <v>0.80914110794506</v>
      </c>
      <c r="AL30" s="1">
        <v>0.809837646430346</v>
      </c>
      <c r="AM30" s="1">
        <v>0.332041564698906</v>
      </c>
      <c r="AN30" s="1">
        <v>0.618349493448313</v>
      </c>
      <c r="AO30" s="1">
        <v>28</v>
      </c>
    </row>
    <row r="31" s="1" customFormat="1" spans="1:41">
      <c r="A31" s="1" t="s">
        <v>136</v>
      </c>
      <c r="B31" s="1" t="s">
        <v>137</v>
      </c>
      <c r="C31" s="1">
        <v>636.182496</v>
      </c>
      <c r="D31" s="1" t="s">
        <v>138</v>
      </c>
      <c r="E31" s="1" t="s">
        <v>139</v>
      </c>
      <c r="F31" s="1" t="s">
        <v>44</v>
      </c>
      <c r="G31" s="1" t="s">
        <v>45</v>
      </c>
      <c r="H31" s="1">
        <v>8</v>
      </c>
      <c r="I31" s="1">
        <v>64</v>
      </c>
      <c r="J31" s="1">
        <v>62</v>
      </c>
      <c r="K31" s="1">
        <v>96.875</v>
      </c>
      <c r="L31" s="1">
        <v>36</v>
      </c>
      <c r="M31" s="1">
        <v>56.25</v>
      </c>
      <c r="N31" s="1">
        <v>36</v>
      </c>
      <c r="O31" s="1">
        <v>56.25</v>
      </c>
      <c r="P31" s="1">
        <v>-6.78430555555556</v>
      </c>
      <c r="Q31" s="1">
        <f t="shared" si="0"/>
        <v>-244.235</v>
      </c>
      <c r="R31" s="1">
        <v>-6.7555</v>
      </c>
      <c r="S31" s="1">
        <v>-8.412</v>
      </c>
      <c r="T31" s="1">
        <v>-4.62</v>
      </c>
      <c r="U31" s="1">
        <v>-3.7515</v>
      </c>
      <c r="V31" s="1">
        <v>-3.537</v>
      </c>
      <c r="W31" s="1">
        <v>-4.27972222222222</v>
      </c>
      <c r="X31" s="1">
        <v>-4.289</v>
      </c>
      <c r="Y31" s="1">
        <v>0.35175867623456</v>
      </c>
      <c r="Z31" s="1">
        <v>0.339183405117832</v>
      </c>
      <c r="AA31" s="1">
        <v>0.668548387096774</v>
      </c>
      <c r="AB31" s="1">
        <v>0.66</v>
      </c>
      <c r="AC31" s="1">
        <v>0.204612580627149</v>
      </c>
      <c r="AD31" s="1">
        <v>0.174798439148027</v>
      </c>
      <c r="AE31" s="1">
        <v>0.765726402455996</v>
      </c>
      <c r="AF31" s="1">
        <v>0.808306034695971</v>
      </c>
      <c r="AG31" s="1">
        <v>0.789749772488233</v>
      </c>
      <c r="AH31" s="1">
        <v>0.812950058726381</v>
      </c>
      <c r="AI31" s="1">
        <v>0.820711077443329</v>
      </c>
      <c r="AJ31" s="1">
        <v>0.814296092378914</v>
      </c>
      <c r="AK31" s="1">
        <v>0.806805256916303</v>
      </c>
      <c r="AL31" s="1">
        <v>0.815443116865991</v>
      </c>
      <c r="AM31" s="1">
        <v>0.345384487967712</v>
      </c>
      <c r="AN31" s="1">
        <v>0.669775855740944</v>
      </c>
      <c r="AO31" s="1">
        <v>29</v>
      </c>
    </row>
    <row r="32" s="1" customFormat="1" spans="1:41">
      <c r="A32" s="1" t="s">
        <v>140</v>
      </c>
      <c r="B32" s="1" t="s">
        <v>141</v>
      </c>
      <c r="C32" s="1">
        <v>931.497058</v>
      </c>
      <c r="D32" s="1" t="s">
        <v>142</v>
      </c>
      <c r="E32" s="1" t="s">
        <v>143</v>
      </c>
      <c r="F32" s="1" t="s">
        <v>44</v>
      </c>
      <c r="G32" s="1" t="s">
        <v>45</v>
      </c>
      <c r="H32" s="1">
        <v>8</v>
      </c>
      <c r="I32" s="1">
        <v>64</v>
      </c>
      <c r="J32" s="1">
        <v>63</v>
      </c>
      <c r="K32" s="1">
        <v>98.4375</v>
      </c>
      <c r="L32" s="1">
        <v>52</v>
      </c>
      <c r="M32" s="1">
        <v>81.25</v>
      </c>
      <c r="N32" s="1">
        <v>52</v>
      </c>
      <c r="O32" s="1">
        <v>81.25</v>
      </c>
      <c r="P32" s="1">
        <v>-6.70075</v>
      </c>
      <c r="Q32" s="1">
        <f t="shared" si="0"/>
        <v>-348.439</v>
      </c>
      <c r="R32" s="1">
        <v>-6.7035</v>
      </c>
      <c r="S32" s="1">
        <v>-9.927</v>
      </c>
      <c r="T32" s="1">
        <v>-3.898</v>
      </c>
      <c r="U32" s="1">
        <v>-5.24082692307692</v>
      </c>
      <c r="V32" s="1">
        <v>-5.3855</v>
      </c>
      <c r="W32" s="1">
        <v>-5.68198076923077</v>
      </c>
      <c r="X32" s="1">
        <v>-5.8095</v>
      </c>
      <c r="Y32" s="1">
        <v>0.409672833099564</v>
      </c>
      <c r="Z32" s="1">
        <v>0.412467819047813</v>
      </c>
      <c r="AA32" s="1">
        <v>0.654761904761905</v>
      </c>
      <c r="AB32" s="1">
        <v>0.63</v>
      </c>
      <c r="AC32" s="1">
        <v>0.174369966636281</v>
      </c>
      <c r="AD32" s="1">
        <v>0.159165535542236</v>
      </c>
      <c r="AE32" s="1">
        <v>0.759936388774127</v>
      </c>
      <c r="AF32" s="1">
        <v>0.801985608699522</v>
      </c>
      <c r="AG32" s="1">
        <v>0.788537509979733</v>
      </c>
      <c r="AH32" s="1">
        <v>0.793337421191994</v>
      </c>
      <c r="AI32" s="1">
        <v>0.814132169516398</v>
      </c>
      <c r="AJ32" s="1">
        <v>0.812466087259767</v>
      </c>
      <c r="AK32" s="1">
        <v>0.808495080232729</v>
      </c>
      <c r="AL32" s="1">
        <v>0.810283361941533</v>
      </c>
      <c r="AM32" s="1">
        <v>0.312675736384247</v>
      </c>
      <c r="AN32" s="1">
        <v>0.640525059045502</v>
      </c>
      <c r="AO32" s="1">
        <v>30</v>
      </c>
    </row>
    <row r="33" s="1" customFormat="1" spans="1:41">
      <c r="A33" s="1" t="s">
        <v>144</v>
      </c>
      <c r="B33" s="1" t="s">
        <v>145</v>
      </c>
      <c r="C33" s="1">
        <v>1637.52162</v>
      </c>
      <c r="D33" s="1" t="s">
        <v>146</v>
      </c>
      <c r="E33" s="1" t="s">
        <v>147</v>
      </c>
      <c r="F33" s="1" t="s">
        <v>44</v>
      </c>
      <c r="G33" s="1" t="s">
        <v>45</v>
      </c>
      <c r="H33" s="1">
        <v>8</v>
      </c>
      <c r="I33" s="1">
        <v>64</v>
      </c>
      <c r="J33" s="1">
        <v>62</v>
      </c>
      <c r="K33" s="1">
        <v>96.875</v>
      </c>
      <c r="L33" s="1">
        <v>30</v>
      </c>
      <c r="M33" s="1">
        <v>46.875</v>
      </c>
      <c r="N33" s="1">
        <v>30</v>
      </c>
      <c r="O33" s="1">
        <v>46.875</v>
      </c>
      <c r="P33" s="1">
        <v>-11.0387333333333</v>
      </c>
      <c r="Q33" s="1">
        <f t="shared" si="0"/>
        <v>-331.161999999999</v>
      </c>
      <c r="R33" s="1">
        <v>-10.9565</v>
      </c>
      <c r="S33" s="1">
        <v>-17.579</v>
      </c>
      <c r="T33" s="1">
        <v>-8.361</v>
      </c>
      <c r="U33" s="1">
        <v>-5.7871</v>
      </c>
      <c r="V33" s="1">
        <v>-7.6355</v>
      </c>
      <c r="W33" s="1">
        <v>-9.03716666666667</v>
      </c>
      <c r="X33" s="1">
        <v>-8.8665</v>
      </c>
      <c r="Y33" s="1">
        <v>0.156109325278404</v>
      </c>
      <c r="Z33" s="1">
        <v>0.1266338719784</v>
      </c>
      <c r="AA33" s="1">
        <v>0.517096774193548</v>
      </c>
      <c r="AB33" s="1">
        <v>0.5</v>
      </c>
      <c r="AC33" s="1">
        <v>0.183560398006803</v>
      </c>
      <c r="AD33" s="1">
        <v>0.180406872681805</v>
      </c>
      <c r="AE33" s="1">
        <v>0.71197727661005</v>
      </c>
      <c r="AF33" s="1">
        <v>0.788694106094247</v>
      </c>
      <c r="AG33" s="1" t="s">
        <v>49</v>
      </c>
      <c r="AH33" s="1">
        <v>0.795825833658266</v>
      </c>
      <c r="AI33" s="1">
        <v>0.82062229016139</v>
      </c>
      <c r="AJ33" s="1">
        <v>0.767794965825268</v>
      </c>
      <c r="AK33" s="1">
        <v>0.807842927945678</v>
      </c>
      <c r="AL33" s="1">
        <v>0.818270577566585</v>
      </c>
      <c r="AM33" s="1">
        <v>0.260437087938134</v>
      </c>
      <c r="AN33" s="1">
        <v>0.590397478186297</v>
      </c>
      <c r="AO33" s="1">
        <v>31</v>
      </c>
    </row>
    <row r="34" s="1" customFormat="1" spans="1:41">
      <c r="A34" s="1" t="s">
        <v>148</v>
      </c>
      <c r="B34" s="1" t="s">
        <v>149</v>
      </c>
      <c r="C34" s="1">
        <v>2187.691404</v>
      </c>
      <c r="D34" s="1" t="s">
        <v>150</v>
      </c>
      <c r="E34" s="1" t="s">
        <v>151</v>
      </c>
      <c r="F34" s="1" t="s">
        <v>44</v>
      </c>
      <c r="G34" s="1" t="s">
        <v>45</v>
      </c>
      <c r="H34" s="1">
        <v>8</v>
      </c>
      <c r="I34" s="1">
        <v>64</v>
      </c>
      <c r="J34" s="1">
        <v>63</v>
      </c>
      <c r="K34" s="1">
        <v>98.4375</v>
      </c>
      <c r="L34" s="1">
        <v>50</v>
      </c>
      <c r="M34" s="1">
        <v>78.125</v>
      </c>
      <c r="N34" s="1">
        <v>50</v>
      </c>
      <c r="O34" s="1">
        <v>78.125</v>
      </c>
      <c r="P34" s="1">
        <v>-8.13328</v>
      </c>
      <c r="Q34" s="1">
        <f t="shared" si="0"/>
        <v>-406.664</v>
      </c>
      <c r="R34" s="1">
        <v>-8.2075</v>
      </c>
      <c r="S34" s="1">
        <v>-10.53</v>
      </c>
      <c r="T34" s="1">
        <v>-5.883</v>
      </c>
      <c r="U34" s="1">
        <v>-5.68756</v>
      </c>
      <c r="V34" s="1">
        <v>-5.5545</v>
      </c>
      <c r="W34" s="1">
        <v>-6.11818</v>
      </c>
      <c r="X34" s="1">
        <v>-5.879</v>
      </c>
      <c r="Y34" s="1">
        <v>0.25959825344946</v>
      </c>
      <c r="Z34" s="1">
        <v>0.232116401174422</v>
      </c>
      <c r="AA34" s="1">
        <v>0.560952380952381</v>
      </c>
      <c r="AB34" s="1">
        <v>0.54</v>
      </c>
      <c r="AC34" s="1">
        <v>0.215602872481746</v>
      </c>
      <c r="AD34" s="1">
        <v>0.207397251920729</v>
      </c>
      <c r="AE34" s="1">
        <v>0.725297941406886</v>
      </c>
      <c r="AF34" s="1">
        <v>0.793252404821519</v>
      </c>
      <c r="AG34" s="1">
        <v>0.815527026195064</v>
      </c>
      <c r="AH34" s="1">
        <v>0.796935728311618</v>
      </c>
      <c r="AI34" s="1">
        <v>0.806137482476127</v>
      </c>
      <c r="AJ34" s="1">
        <v>0.784507683919102</v>
      </c>
      <c r="AK34" s="1">
        <v>0.809902655609179</v>
      </c>
      <c r="AL34" s="1">
        <v>0.813531623309208</v>
      </c>
      <c r="AM34" s="1">
        <v>0.27368290335701</v>
      </c>
      <c r="AN34" s="1">
        <v>0.601876358714926</v>
      </c>
      <c r="AO34" s="1">
        <v>32</v>
      </c>
    </row>
    <row r="35" s="1" customFormat="1" spans="1:41">
      <c r="A35" s="1" t="s">
        <v>152</v>
      </c>
      <c r="B35" s="1" t="s">
        <v>153</v>
      </c>
      <c r="C35" s="1">
        <v>1207.962434</v>
      </c>
      <c r="D35" s="1" t="s">
        <v>154</v>
      </c>
      <c r="E35" s="1" t="s">
        <v>155</v>
      </c>
      <c r="F35" s="1" t="s">
        <v>44</v>
      </c>
      <c r="G35" s="1" t="s">
        <v>45</v>
      </c>
      <c r="H35" s="1">
        <v>8</v>
      </c>
      <c r="I35" s="1">
        <v>64</v>
      </c>
      <c r="J35" s="1">
        <v>64</v>
      </c>
      <c r="K35" s="1">
        <v>100</v>
      </c>
      <c r="L35" s="1">
        <v>55</v>
      </c>
      <c r="M35" s="1">
        <v>85.9375</v>
      </c>
      <c r="N35" s="1">
        <v>55</v>
      </c>
      <c r="O35" s="1">
        <v>85.9375</v>
      </c>
      <c r="P35" s="1">
        <v>-7.44509090909091</v>
      </c>
      <c r="Q35" s="1">
        <f t="shared" ref="Q35:Q66" si="1">PRODUCT(N35,P35)</f>
        <v>-409.48</v>
      </c>
      <c r="R35" s="1">
        <v>-6.703</v>
      </c>
      <c r="S35" s="1">
        <v>-13.368</v>
      </c>
      <c r="T35" s="1">
        <v>-4.305</v>
      </c>
      <c r="U35" s="1">
        <v>-5.37636363636364</v>
      </c>
      <c r="V35" s="1">
        <v>-5.471</v>
      </c>
      <c r="W35" s="1">
        <v>-6.07945454545454</v>
      </c>
      <c r="X35" s="1">
        <v>-5.873</v>
      </c>
      <c r="Y35" s="1">
        <v>0.29925411162314</v>
      </c>
      <c r="Z35" s="1">
        <v>0.287887708304959</v>
      </c>
      <c r="AA35" s="1">
        <v>0.62703125</v>
      </c>
      <c r="AB35" s="1">
        <v>0.64</v>
      </c>
      <c r="AC35" s="1">
        <v>0.254492464229214</v>
      </c>
      <c r="AD35" s="1">
        <v>0.249751460750774</v>
      </c>
      <c r="AE35" s="1">
        <v>0.728570555001828</v>
      </c>
      <c r="AF35" s="1">
        <v>0.800295667710832</v>
      </c>
      <c r="AG35" s="1">
        <v>0.780482270739387</v>
      </c>
      <c r="AH35" s="1">
        <v>0.786167260268896</v>
      </c>
      <c r="AI35" s="1">
        <v>0.805334462466371</v>
      </c>
      <c r="AJ35" s="1">
        <v>0.773319712200133</v>
      </c>
      <c r="AK35" s="1">
        <v>0.804656917494743</v>
      </c>
      <c r="AL35" s="1">
        <v>0.810391597200574</v>
      </c>
      <c r="AM35" s="1">
        <v>0.317016219170423</v>
      </c>
      <c r="AN35" s="1">
        <v>0.613800115604769</v>
      </c>
      <c r="AO35" s="1">
        <v>33</v>
      </c>
    </row>
    <row r="36" s="1" customFormat="1" spans="1:41">
      <c r="A36" s="1" t="s">
        <v>156</v>
      </c>
      <c r="B36" s="1" t="s">
        <v>157</v>
      </c>
      <c r="C36" s="1">
        <v>425.782381</v>
      </c>
      <c r="D36" s="1" t="s">
        <v>158</v>
      </c>
      <c r="E36" s="1" t="s">
        <v>159</v>
      </c>
      <c r="F36" s="1" t="s">
        <v>44</v>
      </c>
      <c r="G36" s="1" t="s">
        <v>45</v>
      </c>
      <c r="H36" s="1">
        <v>8</v>
      </c>
      <c r="I36" s="1">
        <v>64</v>
      </c>
      <c r="J36" s="1">
        <v>64</v>
      </c>
      <c r="K36" s="1">
        <v>100</v>
      </c>
      <c r="L36" s="1">
        <v>50</v>
      </c>
      <c r="M36" s="1">
        <v>78.125</v>
      </c>
      <c r="N36" s="1">
        <v>50</v>
      </c>
      <c r="O36" s="1">
        <v>78.125</v>
      </c>
      <c r="P36" s="1">
        <v>-5.82318</v>
      </c>
      <c r="Q36" s="1">
        <f t="shared" si="1"/>
        <v>-291.159</v>
      </c>
      <c r="R36" s="1">
        <v>-5.624</v>
      </c>
      <c r="S36" s="1">
        <v>-9.142</v>
      </c>
      <c r="T36" s="1">
        <v>-4.953</v>
      </c>
      <c r="U36" s="1">
        <v>-4.45262</v>
      </c>
      <c r="V36" s="1">
        <v>-4.45</v>
      </c>
      <c r="W36" s="1">
        <v>-4.7671</v>
      </c>
      <c r="X36" s="1">
        <v>-4.713</v>
      </c>
      <c r="Y36" s="1">
        <v>0.444909083454179</v>
      </c>
      <c r="Z36" s="1">
        <v>0.458432551375188</v>
      </c>
      <c r="AA36" s="1">
        <v>0.75703125</v>
      </c>
      <c r="AB36" s="1">
        <v>0.815</v>
      </c>
      <c r="AC36" s="1">
        <v>0.16246295220733</v>
      </c>
      <c r="AD36" s="1">
        <v>0.149008937310616</v>
      </c>
      <c r="AE36" s="1">
        <v>0.772317777638463</v>
      </c>
      <c r="AF36" s="1">
        <v>0.805186063224087</v>
      </c>
      <c r="AG36" s="1">
        <v>0.820280508978211</v>
      </c>
      <c r="AH36" s="1">
        <v>0.822552607328176</v>
      </c>
      <c r="AI36" s="1">
        <v>0.777515934513397</v>
      </c>
      <c r="AJ36" s="1" t="s">
        <v>49</v>
      </c>
      <c r="AK36" s="1">
        <v>0.811136672153915</v>
      </c>
      <c r="AL36" s="1">
        <v>0.8107708565337</v>
      </c>
      <c r="AM36" s="1">
        <v>0.491247586780962</v>
      </c>
      <c r="AN36" s="1">
        <v>0.679412580078925</v>
      </c>
      <c r="AO36" s="1">
        <v>34</v>
      </c>
    </row>
    <row r="37" s="1" customFormat="1" spans="1:41">
      <c r="A37" s="1" t="s">
        <v>160</v>
      </c>
      <c r="B37" s="1" t="s">
        <v>161</v>
      </c>
      <c r="C37" s="1">
        <v>617.217433</v>
      </c>
      <c r="D37" s="1" t="s">
        <v>162</v>
      </c>
      <c r="E37" s="1" t="s">
        <v>163</v>
      </c>
      <c r="F37" s="1" t="s">
        <v>44</v>
      </c>
      <c r="G37" s="1" t="s">
        <v>45</v>
      </c>
      <c r="H37" s="1">
        <v>8</v>
      </c>
      <c r="I37" s="1">
        <v>64</v>
      </c>
      <c r="J37" s="1">
        <v>63</v>
      </c>
      <c r="K37" s="1">
        <v>98.4375</v>
      </c>
      <c r="L37" s="1">
        <v>52</v>
      </c>
      <c r="M37" s="1">
        <v>81.25</v>
      </c>
      <c r="N37" s="1">
        <v>52</v>
      </c>
      <c r="O37" s="1">
        <v>81.25</v>
      </c>
      <c r="P37" s="1">
        <v>-8.67344230769231</v>
      </c>
      <c r="Q37" s="1">
        <f t="shared" si="1"/>
        <v>-451.019</v>
      </c>
      <c r="R37" s="1">
        <v>-8.385</v>
      </c>
      <c r="S37" s="1">
        <v>-11.89</v>
      </c>
      <c r="T37" s="1">
        <v>-6.719</v>
      </c>
      <c r="U37" s="1">
        <v>-7.30321153846154</v>
      </c>
      <c r="V37" s="1">
        <v>-7.5055</v>
      </c>
      <c r="W37" s="1">
        <v>-7.82713461538462</v>
      </c>
      <c r="X37" s="1">
        <v>-7.7565</v>
      </c>
      <c r="Y37" s="1">
        <v>0.274333664949684</v>
      </c>
      <c r="Z37" s="1">
        <v>0.267328007644279</v>
      </c>
      <c r="AA37" s="1">
        <v>0.569047619047619</v>
      </c>
      <c r="AB37" s="1">
        <v>0.56</v>
      </c>
      <c r="AC37" s="1">
        <v>0.239687241481918</v>
      </c>
      <c r="AD37" s="1">
        <v>0.238935943615299</v>
      </c>
      <c r="AE37" s="1">
        <v>0.787729021084241</v>
      </c>
      <c r="AF37" s="1">
        <v>0.814816648184431</v>
      </c>
      <c r="AG37" s="1">
        <v>0.831239259018029</v>
      </c>
      <c r="AH37" s="1">
        <v>0.791900739654498</v>
      </c>
      <c r="AI37" s="1">
        <v>0.81728309868552</v>
      </c>
      <c r="AJ37" s="1">
        <v>0.798430111077724</v>
      </c>
      <c r="AK37" s="1">
        <v>0.806941827230622</v>
      </c>
      <c r="AL37" s="1">
        <v>0.812236768607808</v>
      </c>
      <c r="AM37" s="1">
        <v>0.40403427709816</v>
      </c>
      <c r="AN37" s="1">
        <v>0.70342667473016</v>
      </c>
      <c r="AO37" s="1">
        <v>35</v>
      </c>
    </row>
    <row r="38" s="1" customFormat="1" spans="1:41">
      <c r="A38" s="1" t="s">
        <v>164</v>
      </c>
      <c r="B38" s="1" t="s">
        <v>165</v>
      </c>
      <c r="C38" s="1">
        <v>2115.631823</v>
      </c>
      <c r="D38" s="1" t="s">
        <v>166</v>
      </c>
      <c r="E38" s="1" t="s">
        <v>167</v>
      </c>
      <c r="F38" s="1" t="s">
        <v>44</v>
      </c>
      <c r="G38" s="1" t="s">
        <v>45</v>
      </c>
      <c r="H38" s="1">
        <v>8</v>
      </c>
      <c r="I38" s="1">
        <v>64</v>
      </c>
      <c r="J38" s="1">
        <v>64</v>
      </c>
      <c r="K38" s="1">
        <v>100</v>
      </c>
      <c r="L38" s="1">
        <v>51</v>
      </c>
      <c r="M38" s="1">
        <v>79.6875</v>
      </c>
      <c r="N38" s="1">
        <v>51</v>
      </c>
      <c r="O38" s="1">
        <v>79.6875</v>
      </c>
      <c r="P38" s="1">
        <v>-9.18298039215686</v>
      </c>
      <c r="Q38" s="1">
        <f t="shared" si="1"/>
        <v>-468.332</v>
      </c>
      <c r="R38" s="1">
        <v>-9.18</v>
      </c>
      <c r="S38" s="1">
        <v>-13.38</v>
      </c>
      <c r="T38" s="1">
        <v>-7.264</v>
      </c>
      <c r="U38" s="1">
        <v>-7.44729411764706</v>
      </c>
      <c r="V38" s="1">
        <v>-7.36</v>
      </c>
      <c r="W38" s="1">
        <v>-7.64858823529412</v>
      </c>
      <c r="X38" s="1">
        <v>-7.68</v>
      </c>
      <c r="Y38" s="1">
        <v>0.198392408921268</v>
      </c>
      <c r="Z38" s="1">
        <v>0.149376166140124</v>
      </c>
      <c r="AA38" s="1">
        <v>0.55015625</v>
      </c>
      <c r="AB38" s="1">
        <v>0.55</v>
      </c>
      <c r="AC38" s="1">
        <v>0.196978224061552</v>
      </c>
      <c r="AD38" s="1">
        <v>0.190108105827982</v>
      </c>
      <c r="AE38" s="1">
        <v>0.74408519434973</v>
      </c>
      <c r="AF38" s="1">
        <v>0.802350975799636</v>
      </c>
      <c r="AG38" s="1">
        <v>0.726257173561597</v>
      </c>
      <c r="AH38" s="1">
        <v>0.775826847377903</v>
      </c>
      <c r="AI38" s="1">
        <v>0.806429384315409</v>
      </c>
      <c r="AJ38" s="1">
        <v>0.777535349796035</v>
      </c>
      <c r="AK38" s="1">
        <v>0.805994838470492</v>
      </c>
      <c r="AL38" s="1">
        <v>0.804438865547542</v>
      </c>
      <c r="AM38" s="1">
        <v>0.27044052927602</v>
      </c>
      <c r="AN38" s="1">
        <v>0.625239012363582</v>
      </c>
      <c r="AO38" s="1">
        <v>36</v>
      </c>
    </row>
    <row r="39" s="1" customFormat="1" spans="1:41">
      <c r="A39" s="1" t="s">
        <v>168</v>
      </c>
      <c r="B39" s="1" t="s">
        <v>169</v>
      </c>
      <c r="C39" s="1">
        <v>1438.495183</v>
      </c>
      <c r="D39" s="1" t="s">
        <v>170</v>
      </c>
      <c r="E39" s="1" t="s">
        <v>171</v>
      </c>
      <c r="F39" s="1" t="s">
        <v>44</v>
      </c>
      <c r="G39" s="1" t="s">
        <v>45</v>
      </c>
      <c r="H39" s="1">
        <v>8</v>
      </c>
      <c r="I39" s="1">
        <v>64</v>
      </c>
      <c r="J39" s="1">
        <v>64</v>
      </c>
      <c r="K39" s="1">
        <v>100</v>
      </c>
      <c r="L39" s="1">
        <v>44</v>
      </c>
      <c r="M39" s="1">
        <v>68.75</v>
      </c>
      <c r="N39" s="1">
        <v>44</v>
      </c>
      <c r="O39" s="1">
        <v>68.75</v>
      </c>
      <c r="P39" s="1">
        <v>-8.03793181818182</v>
      </c>
      <c r="Q39" s="1">
        <f t="shared" si="1"/>
        <v>-353.669</v>
      </c>
      <c r="R39" s="1">
        <v>-7.9995</v>
      </c>
      <c r="S39" s="1">
        <v>-9.691</v>
      </c>
      <c r="T39" s="1">
        <v>-6.05</v>
      </c>
      <c r="U39" s="1">
        <v>-4.78125</v>
      </c>
      <c r="V39" s="1">
        <v>-5.2315</v>
      </c>
      <c r="W39" s="1">
        <v>-5.33636363636364</v>
      </c>
      <c r="X39" s="1">
        <v>-5.514</v>
      </c>
      <c r="Y39" s="1">
        <v>0.249943928841031</v>
      </c>
      <c r="Z39" s="1">
        <v>0.215815543858471</v>
      </c>
      <c r="AA39" s="1">
        <v>0.5675</v>
      </c>
      <c r="AB39" s="1">
        <v>0.56</v>
      </c>
      <c r="AC39" s="1">
        <v>0.22004826023738</v>
      </c>
      <c r="AD39" s="1">
        <v>0.211299310915265</v>
      </c>
      <c r="AE39" s="1">
        <v>0.738623197797115</v>
      </c>
      <c r="AF39" s="1">
        <v>0.804469065397434</v>
      </c>
      <c r="AG39" s="1">
        <v>0.786838274100652</v>
      </c>
      <c r="AH39" s="1">
        <v>0.779842474837798</v>
      </c>
      <c r="AI39" s="1">
        <v>0.811784005008042</v>
      </c>
      <c r="AJ39" s="1">
        <v>0.784120055544092</v>
      </c>
      <c r="AK39" s="1">
        <v>0.810179783523943</v>
      </c>
      <c r="AL39" s="1">
        <v>0.81061593564854</v>
      </c>
      <c r="AM39" s="1">
        <v>0.296316641023365</v>
      </c>
      <c r="AN39" s="1">
        <v>0.621336961370719</v>
      </c>
      <c r="AO39" s="1">
        <v>37</v>
      </c>
    </row>
    <row r="40" s="1" customFormat="1" spans="1:41">
      <c r="A40" s="1" t="s">
        <v>172</v>
      </c>
      <c r="B40" s="1" t="s">
        <v>173</v>
      </c>
      <c r="C40" s="1">
        <v>669.36599</v>
      </c>
      <c r="D40" s="1" t="s">
        <v>174</v>
      </c>
      <c r="E40" s="1" t="s">
        <v>175</v>
      </c>
      <c r="F40" s="1" t="s">
        <v>44</v>
      </c>
      <c r="G40" s="1" t="s">
        <v>45</v>
      </c>
      <c r="H40" s="1">
        <v>8</v>
      </c>
      <c r="I40" s="1">
        <v>64</v>
      </c>
      <c r="J40" s="1">
        <v>64</v>
      </c>
      <c r="K40" s="1">
        <v>100</v>
      </c>
      <c r="L40" s="1">
        <v>56</v>
      </c>
      <c r="M40" s="1">
        <v>87.5</v>
      </c>
      <c r="N40" s="1">
        <v>56</v>
      </c>
      <c r="O40" s="1">
        <v>87.5</v>
      </c>
      <c r="P40" s="1">
        <v>-4.06855357142857</v>
      </c>
      <c r="Q40" s="1">
        <f t="shared" si="1"/>
        <v>-227.839</v>
      </c>
      <c r="R40" s="1">
        <v>-3.736</v>
      </c>
      <c r="S40" s="1">
        <v>-7.996</v>
      </c>
      <c r="T40" s="1">
        <v>-3.339</v>
      </c>
      <c r="U40" s="1">
        <v>-1.58435714285714</v>
      </c>
      <c r="V40" s="1">
        <v>-1.52</v>
      </c>
      <c r="W40" s="1">
        <v>-2.19825</v>
      </c>
      <c r="X40" s="1">
        <v>-2.124</v>
      </c>
      <c r="Y40" s="1">
        <v>0.392114239758795</v>
      </c>
      <c r="Z40" s="1">
        <v>0.391182545162009</v>
      </c>
      <c r="AA40" s="1">
        <v>0.65828125</v>
      </c>
      <c r="AB40" s="1">
        <v>0.645</v>
      </c>
      <c r="AC40" s="1">
        <v>0.275744112466118</v>
      </c>
      <c r="AD40" s="1">
        <v>0.269814250507131</v>
      </c>
      <c r="AE40" s="1">
        <v>0.781563069447171</v>
      </c>
      <c r="AF40" s="1">
        <v>0.816024718401339</v>
      </c>
      <c r="AG40" s="1">
        <v>0.80577004963079</v>
      </c>
      <c r="AH40" s="1">
        <v>0.80783063222182</v>
      </c>
      <c r="AI40" s="1">
        <v>0.818673420068853</v>
      </c>
      <c r="AJ40" s="1">
        <v>0.757540478311927</v>
      </c>
      <c r="AK40" s="1">
        <v>0.805657577060612</v>
      </c>
      <c r="AL40" s="1">
        <v>0.824089411953819</v>
      </c>
      <c r="AM40" s="1">
        <v>0.475106813778492</v>
      </c>
      <c r="AN40" s="1">
        <v>0.699622113821224</v>
      </c>
      <c r="AO40" s="1">
        <v>38</v>
      </c>
    </row>
    <row r="41" s="1" customFormat="1" spans="1:41">
      <c r="A41" s="1" t="s">
        <v>176</v>
      </c>
      <c r="B41" s="1" t="s">
        <v>177</v>
      </c>
      <c r="C41" s="1">
        <v>1128.010618</v>
      </c>
      <c r="D41" s="1" t="s">
        <v>178</v>
      </c>
      <c r="E41" s="1" t="s">
        <v>179</v>
      </c>
      <c r="F41" s="1" t="s">
        <v>44</v>
      </c>
      <c r="G41" s="1" t="s">
        <v>45</v>
      </c>
      <c r="H41" s="1">
        <v>8</v>
      </c>
      <c r="I41" s="1">
        <v>64</v>
      </c>
      <c r="J41" s="1">
        <v>62</v>
      </c>
      <c r="K41" s="1">
        <v>96.875</v>
      </c>
      <c r="L41" s="1">
        <v>51</v>
      </c>
      <c r="M41" s="1">
        <v>79.6875</v>
      </c>
      <c r="N41" s="1">
        <v>51</v>
      </c>
      <c r="O41" s="1">
        <v>79.6875</v>
      </c>
      <c r="P41" s="1">
        <v>-10.7086666666667</v>
      </c>
      <c r="Q41" s="1">
        <f t="shared" si="1"/>
        <v>-546.142000000002</v>
      </c>
      <c r="R41" s="1">
        <v>-10.24</v>
      </c>
      <c r="S41" s="1">
        <v>-16.269</v>
      </c>
      <c r="T41" s="1">
        <v>-7.56</v>
      </c>
      <c r="U41" s="1">
        <v>-3.38123529411765</v>
      </c>
      <c r="V41" s="1">
        <v>-7.395</v>
      </c>
      <c r="W41" s="1">
        <v>-8.34939215686274</v>
      </c>
      <c r="X41" s="1">
        <v>-8.337</v>
      </c>
      <c r="Y41" s="1">
        <v>0.283268395512864</v>
      </c>
      <c r="Z41" s="1">
        <v>0.229920957245913</v>
      </c>
      <c r="AA41" s="1">
        <v>0.632741935483871</v>
      </c>
      <c r="AB41" s="1">
        <v>0.635</v>
      </c>
      <c r="AC41" s="1">
        <v>0.270854824072853</v>
      </c>
      <c r="AD41" s="1">
        <v>0.290190928131768</v>
      </c>
      <c r="AE41" s="1">
        <v>0.735946647139177</v>
      </c>
      <c r="AF41" s="1">
        <v>0.794601381084934</v>
      </c>
      <c r="AG41" s="1">
        <v>0.805799667657921</v>
      </c>
      <c r="AH41" s="1">
        <v>0.800590883209662</v>
      </c>
      <c r="AI41" s="1">
        <v>0.811805670934069</v>
      </c>
      <c r="AJ41" s="1">
        <v>0.814045325247216</v>
      </c>
      <c r="AK41" s="1">
        <v>0.796940180886718</v>
      </c>
      <c r="AL41" s="1">
        <v>0.805299158827928</v>
      </c>
      <c r="AM41" s="1">
        <v>0.304928634755801</v>
      </c>
      <c r="AN41" s="1">
        <v>0.603679784304343</v>
      </c>
      <c r="AO41" s="1">
        <v>39</v>
      </c>
    </row>
    <row r="42" s="1" customFormat="1" spans="1:41">
      <c r="A42" s="1" t="s">
        <v>180</v>
      </c>
      <c r="B42" s="1" t="s">
        <v>181</v>
      </c>
      <c r="C42" s="1">
        <v>749.552244</v>
      </c>
      <c r="D42" s="1" t="s">
        <v>182</v>
      </c>
      <c r="E42" s="1" t="s">
        <v>183</v>
      </c>
      <c r="F42" s="1" t="s">
        <v>44</v>
      </c>
      <c r="G42" s="1" t="s">
        <v>45</v>
      </c>
      <c r="H42" s="1">
        <v>8</v>
      </c>
      <c r="I42" s="1">
        <v>64</v>
      </c>
      <c r="J42" s="1">
        <v>62</v>
      </c>
      <c r="K42" s="1">
        <v>96.875</v>
      </c>
      <c r="L42" s="1">
        <v>51</v>
      </c>
      <c r="M42" s="1">
        <v>79.6875</v>
      </c>
      <c r="N42" s="1">
        <v>51</v>
      </c>
      <c r="O42" s="1">
        <v>79.6875</v>
      </c>
      <c r="P42" s="1">
        <v>-6.89686274509804</v>
      </c>
      <c r="Q42" s="1">
        <f t="shared" si="1"/>
        <v>-351.74</v>
      </c>
      <c r="R42" s="1">
        <v>-6.504</v>
      </c>
      <c r="S42" s="1">
        <v>-12.17</v>
      </c>
      <c r="T42" s="1">
        <v>-4.687</v>
      </c>
      <c r="U42" s="1">
        <v>-5.23219607843137</v>
      </c>
      <c r="V42" s="1">
        <v>-5.181</v>
      </c>
      <c r="W42" s="1">
        <v>-5.80988235294118</v>
      </c>
      <c r="X42" s="1">
        <v>-5.442</v>
      </c>
      <c r="Y42" s="1">
        <v>0.400630964304567</v>
      </c>
      <c r="Z42" s="1">
        <v>0.384229478783537</v>
      </c>
      <c r="AA42" s="1">
        <v>0.650806451612903</v>
      </c>
      <c r="AB42" s="1">
        <v>0.665</v>
      </c>
      <c r="AC42" s="1">
        <v>0.222487915809609</v>
      </c>
      <c r="AD42" s="1">
        <v>0.201386401608554</v>
      </c>
      <c r="AE42" s="1">
        <v>0.770263190053737</v>
      </c>
      <c r="AF42" s="1">
        <v>0.809078820401702</v>
      </c>
      <c r="AG42" s="1">
        <v>0.803087286605546</v>
      </c>
      <c r="AH42" s="1">
        <v>0.78655978970253</v>
      </c>
      <c r="AI42" s="1">
        <v>0.807480182515655</v>
      </c>
      <c r="AJ42" s="1">
        <v>0.758868646506427</v>
      </c>
      <c r="AK42" s="1">
        <v>0.808251939279117</v>
      </c>
      <c r="AL42" s="1">
        <v>0.806108780633218</v>
      </c>
      <c r="AM42" s="1">
        <v>0.376080502896526</v>
      </c>
      <c r="AN42" s="1">
        <v>0.677539653705789</v>
      </c>
      <c r="AO42" s="1">
        <v>40</v>
      </c>
    </row>
    <row r="43" s="1" customFormat="1" spans="1:41">
      <c r="A43" s="1" t="s">
        <v>137</v>
      </c>
      <c r="B43" s="1" t="s">
        <v>184</v>
      </c>
      <c r="C43" s="1">
        <v>2410.735605</v>
      </c>
      <c r="D43" s="1" t="s">
        <v>185</v>
      </c>
      <c r="E43" s="1" t="s">
        <v>186</v>
      </c>
      <c r="F43" s="1" t="s">
        <v>44</v>
      </c>
      <c r="G43" s="1" t="s">
        <v>45</v>
      </c>
      <c r="H43" s="1">
        <v>8</v>
      </c>
      <c r="I43" s="1">
        <v>64</v>
      </c>
      <c r="J43" s="1">
        <v>63</v>
      </c>
      <c r="K43" s="1">
        <v>98.4375</v>
      </c>
      <c r="L43" s="1">
        <v>30</v>
      </c>
      <c r="M43" s="1">
        <v>46.875</v>
      </c>
      <c r="N43" s="1">
        <v>30</v>
      </c>
      <c r="O43" s="1">
        <v>46.875</v>
      </c>
      <c r="P43" s="1">
        <v>-8.88963333333333</v>
      </c>
      <c r="Q43" s="1">
        <f t="shared" si="1"/>
        <v>-266.689</v>
      </c>
      <c r="R43" s="1">
        <v>-9.1315</v>
      </c>
      <c r="S43" s="1">
        <v>-12.207</v>
      </c>
      <c r="T43" s="1">
        <v>-6.612</v>
      </c>
      <c r="U43" s="1">
        <v>-6.6134</v>
      </c>
      <c r="V43" s="1">
        <v>-6.3025</v>
      </c>
      <c r="W43" s="1">
        <v>-6.64323333333333</v>
      </c>
      <c r="X43" s="1">
        <v>-6.4125</v>
      </c>
      <c r="Y43" s="1">
        <v>0.125051590052544</v>
      </c>
      <c r="Z43" s="1">
        <v>0.096759446185148</v>
      </c>
      <c r="AA43" s="1">
        <v>0.538253968253968</v>
      </c>
      <c r="AB43" s="1">
        <v>0.51</v>
      </c>
      <c r="AC43" s="1">
        <v>0.225049971282628</v>
      </c>
      <c r="AD43" s="1">
        <v>0.216299266011323</v>
      </c>
      <c r="AE43" s="1">
        <v>0.697849067417243</v>
      </c>
      <c r="AF43" s="1">
        <v>0.787443137802195</v>
      </c>
      <c r="AG43" s="1">
        <v>0.736204999204705</v>
      </c>
      <c r="AH43" s="1">
        <v>0.794579856481952</v>
      </c>
      <c r="AI43" s="1">
        <v>0.809904497956101</v>
      </c>
      <c r="AJ43" s="1">
        <v>0.832453442118371</v>
      </c>
      <c r="AK43" s="1">
        <v>0.813557510112001</v>
      </c>
      <c r="AL43" s="1">
        <v>0.812425182373452</v>
      </c>
      <c r="AM43" s="1">
        <v>0.305514957617953</v>
      </c>
      <c r="AN43" s="1">
        <v>0.566970152789849</v>
      </c>
      <c r="AO43" s="1">
        <v>41</v>
      </c>
    </row>
    <row r="44" s="1" customFormat="1" spans="1:41">
      <c r="A44" s="1" t="s">
        <v>187</v>
      </c>
      <c r="B44" s="1" t="s">
        <v>188</v>
      </c>
      <c r="C44" s="1">
        <v>629.100607</v>
      </c>
      <c r="D44" s="1" t="s">
        <v>189</v>
      </c>
      <c r="E44" s="1" t="s">
        <v>190</v>
      </c>
      <c r="F44" s="1" t="s">
        <v>44</v>
      </c>
      <c r="G44" s="1" t="s">
        <v>45</v>
      </c>
      <c r="H44" s="1">
        <v>8</v>
      </c>
      <c r="I44" s="1">
        <v>64</v>
      </c>
      <c r="J44" s="1">
        <v>62</v>
      </c>
      <c r="K44" s="1">
        <v>96.875</v>
      </c>
      <c r="L44" s="1">
        <v>24</v>
      </c>
      <c r="M44" s="1">
        <v>37.5</v>
      </c>
      <c r="N44" s="1">
        <v>24</v>
      </c>
      <c r="O44" s="1">
        <v>37.5</v>
      </c>
      <c r="P44" s="1">
        <v>-10.955</v>
      </c>
      <c r="Q44" s="1">
        <f t="shared" si="1"/>
        <v>-262.92</v>
      </c>
      <c r="R44" s="1">
        <v>-10.5445</v>
      </c>
      <c r="S44" s="1">
        <v>-13.392</v>
      </c>
      <c r="T44" s="1">
        <v>-8.936</v>
      </c>
      <c r="U44" s="1">
        <v>-8.94770833333333</v>
      </c>
      <c r="V44" s="1">
        <v>-8.52</v>
      </c>
      <c r="W44" s="1">
        <v>-9.2915</v>
      </c>
      <c r="X44" s="1">
        <v>-8.7055</v>
      </c>
      <c r="Y44" s="1">
        <v>0.272664301199602</v>
      </c>
      <c r="Z44" s="1">
        <v>0.263556523330677</v>
      </c>
      <c r="AA44" s="1">
        <v>0.586612903225806</v>
      </c>
      <c r="AB44" s="1">
        <v>0.59</v>
      </c>
      <c r="AC44" s="1">
        <v>0.233287044430937</v>
      </c>
      <c r="AD44" s="1">
        <v>0.244027274522237</v>
      </c>
      <c r="AE44" s="1">
        <v>0.750399205043085</v>
      </c>
      <c r="AF44" s="1">
        <v>0.804412600893689</v>
      </c>
      <c r="AG44" s="1">
        <v>0.811248145740383</v>
      </c>
      <c r="AH44" s="1">
        <v>0.786946090605536</v>
      </c>
      <c r="AI44" s="1">
        <v>0.825638019761112</v>
      </c>
      <c r="AJ44" s="1">
        <v>0.742780965086427</v>
      </c>
      <c r="AK44" s="1">
        <v>0.800787871680784</v>
      </c>
      <c r="AL44" s="1">
        <v>0.827150426759616</v>
      </c>
      <c r="AM44" s="1">
        <v>0.280090365520773</v>
      </c>
      <c r="AN44" s="1">
        <v>0.625471935799899</v>
      </c>
      <c r="AO44" s="1">
        <v>42</v>
      </c>
    </row>
    <row r="45" s="1" customFormat="1" spans="1:41">
      <c r="A45" s="1" t="s">
        <v>191</v>
      </c>
      <c r="B45" s="1" t="s">
        <v>192</v>
      </c>
      <c r="C45" s="1">
        <v>385.774882</v>
      </c>
      <c r="D45" s="1" t="s">
        <v>193</v>
      </c>
      <c r="E45" s="1" t="s">
        <v>194</v>
      </c>
      <c r="F45" s="1" t="s">
        <v>44</v>
      </c>
      <c r="G45" s="1" t="s">
        <v>45</v>
      </c>
      <c r="H45" s="1">
        <v>8</v>
      </c>
      <c r="I45" s="1">
        <v>64</v>
      </c>
      <c r="J45" s="1">
        <v>63</v>
      </c>
      <c r="K45" s="1">
        <v>98.4375</v>
      </c>
      <c r="L45" s="1">
        <v>49</v>
      </c>
      <c r="M45" s="1">
        <v>76.5625</v>
      </c>
      <c r="N45" s="1">
        <v>49</v>
      </c>
      <c r="O45" s="1">
        <v>76.5625</v>
      </c>
      <c r="P45" s="1">
        <v>-5.16218367346939</v>
      </c>
      <c r="Q45" s="1">
        <f t="shared" si="1"/>
        <v>-252.947</v>
      </c>
      <c r="R45" s="1">
        <v>-4.935</v>
      </c>
      <c r="S45" s="1">
        <v>-7.55</v>
      </c>
      <c r="T45" s="1">
        <v>-3.617</v>
      </c>
      <c r="U45" s="1">
        <v>-3.34261224489796</v>
      </c>
      <c r="V45" s="1">
        <v>-3.203</v>
      </c>
      <c r="W45" s="1">
        <v>-3.72630612244898</v>
      </c>
      <c r="X45" s="1">
        <v>-3.556</v>
      </c>
      <c r="Y45" s="1">
        <v>0.466644952151247</v>
      </c>
      <c r="Z45" s="1">
        <v>0.463673498177385</v>
      </c>
      <c r="AA45" s="1">
        <v>0.671428571428571</v>
      </c>
      <c r="AB45" s="1">
        <v>0.68</v>
      </c>
      <c r="AC45" s="1">
        <v>0.234805273128556</v>
      </c>
      <c r="AD45" s="1">
        <v>0.20504144787824</v>
      </c>
      <c r="AE45" s="1">
        <v>0.783554917905082</v>
      </c>
      <c r="AF45" s="1">
        <v>0.80969890507304</v>
      </c>
      <c r="AG45" s="1">
        <v>0.811540752258521</v>
      </c>
      <c r="AH45" s="1">
        <v>0.807881679184992</v>
      </c>
      <c r="AI45" s="1">
        <v>0.819565567129764</v>
      </c>
      <c r="AJ45" s="1">
        <v>0.803881190047499</v>
      </c>
      <c r="AK45" s="1">
        <v>0.819319436440141</v>
      </c>
      <c r="AL45" s="1">
        <v>0.801905318095288</v>
      </c>
      <c r="AM45" s="1">
        <v>0.487512049665345</v>
      </c>
      <c r="AN45" s="1">
        <v>0.684988472431351</v>
      </c>
      <c r="AO45" s="1">
        <v>43</v>
      </c>
    </row>
    <row r="46" s="1" customFormat="1" spans="1:41">
      <c r="A46" s="1" t="s">
        <v>195</v>
      </c>
      <c r="B46" s="1" t="s">
        <v>196</v>
      </c>
      <c r="C46" s="1">
        <v>2040.114767</v>
      </c>
      <c r="D46" s="1" t="s">
        <v>197</v>
      </c>
      <c r="E46" s="1" t="s">
        <v>198</v>
      </c>
      <c r="F46" s="1" t="s">
        <v>44</v>
      </c>
      <c r="G46" s="1" t="s">
        <v>45</v>
      </c>
      <c r="H46" s="1">
        <v>8</v>
      </c>
      <c r="I46" s="1">
        <v>64</v>
      </c>
      <c r="J46" s="1">
        <v>64</v>
      </c>
      <c r="K46" s="1">
        <v>100</v>
      </c>
      <c r="L46" s="1">
        <v>42</v>
      </c>
      <c r="M46" s="1">
        <v>65.625</v>
      </c>
      <c r="N46" s="1">
        <v>42</v>
      </c>
      <c r="O46" s="1">
        <v>65.625</v>
      </c>
      <c r="P46" s="1">
        <v>-9.97383333333334</v>
      </c>
      <c r="Q46" s="1">
        <f t="shared" si="1"/>
        <v>-418.901</v>
      </c>
      <c r="R46" s="1">
        <v>-9.9315</v>
      </c>
      <c r="S46" s="1">
        <v>-14.895</v>
      </c>
      <c r="T46" s="1">
        <v>-6.521</v>
      </c>
      <c r="U46" s="1">
        <v>-8.2462619047619</v>
      </c>
      <c r="V46" s="1">
        <v>-8.3505</v>
      </c>
      <c r="W46" s="1">
        <v>-8.88452380952381</v>
      </c>
      <c r="X46" s="1">
        <v>-8.7545</v>
      </c>
      <c r="Y46" s="1">
        <v>0.148548627589932</v>
      </c>
      <c r="Z46" s="1">
        <v>0.124767056217589</v>
      </c>
      <c r="AA46" s="1">
        <v>0.53609375</v>
      </c>
      <c r="AB46" s="1">
        <v>0.525</v>
      </c>
      <c r="AC46" s="1">
        <v>0.198828042444609</v>
      </c>
      <c r="AD46" s="1">
        <v>0.201624863570491</v>
      </c>
      <c r="AE46" s="1">
        <v>0.759999924461148</v>
      </c>
      <c r="AF46" s="1">
        <v>0.812918124693137</v>
      </c>
      <c r="AG46" s="1">
        <v>0.820715364484035</v>
      </c>
      <c r="AH46" s="1">
        <v>0.776842647577423</v>
      </c>
      <c r="AI46" s="1">
        <v>0.814251140008271</v>
      </c>
      <c r="AJ46" s="1">
        <v>0.778406357507406</v>
      </c>
      <c r="AK46" s="1">
        <v>0.809801615191803</v>
      </c>
      <c r="AL46" s="1">
        <v>0.807222119005431</v>
      </c>
      <c r="AM46" s="1">
        <v>0.266840632959238</v>
      </c>
      <c r="AN46" s="1">
        <v>0.65702863703346</v>
      </c>
      <c r="AO46" s="1">
        <v>44</v>
      </c>
    </row>
    <row r="47" s="1" customFormat="1" spans="1:41">
      <c r="A47" s="1" t="s">
        <v>199</v>
      </c>
      <c r="B47" s="1" t="s">
        <v>200</v>
      </c>
      <c r="C47" s="1">
        <v>1009.454397</v>
      </c>
      <c r="D47" s="1" t="s">
        <v>201</v>
      </c>
      <c r="E47" s="1" t="s">
        <v>202</v>
      </c>
      <c r="F47" s="1" t="s">
        <v>44</v>
      </c>
      <c r="G47" s="1" t="s">
        <v>45</v>
      </c>
      <c r="H47" s="1">
        <v>8</v>
      </c>
      <c r="I47" s="1">
        <v>64</v>
      </c>
      <c r="J47" s="1">
        <v>64</v>
      </c>
      <c r="K47" s="1">
        <v>100</v>
      </c>
      <c r="L47" s="1">
        <v>50</v>
      </c>
      <c r="M47" s="1">
        <v>78.125</v>
      </c>
      <c r="N47" s="1">
        <v>50</v>
      </c>
      <c r="O47" s="1">
        <v>78.125</v>
      </c>
      <c r="P47" s="1">
        <v>-7.20578</v>
      </c>
      <c r="Q47" s="1">
        <f t="shared" si="1"/>
        <v>-360.289</v>
      </c>
      <c r="R47" s="1">
        <v>-7.34</v>
      </c>
      <c r="S47" s="1">
        <v>-9.438</v>
      </c>
      <c r="T47" s="1">
        <v>-5.048</v>
      </c>
      <c r="U47" s="1">
        <v>-4.46242</v>
      </c>
      <c r="V47" s="1">
        <v>-4.5305</v>
      </c>
      <c r="W47" s="1">
        <v>-4.89862</v>
      </c>
      <c r="X47" s="1">
        <v>-4.8485</v>
      </c>
      <c r="Y47" s="1">
        <v>0.346500350265698</v>
      </c>
      <c r="Z47" s="1">
        <v>0.341488508313338</v>
      </c>
      <c r="AA47" s="1">
        <v>0.62625</v>
      </c>
      <c r="AB47" s="1">
        <v>0.61</v>
      </c>
      <c r="AC47" s="1">
        <v>0.190498420059039</v>
      </c>
      <c r="AD47" s="1">
        <v>0.180385356510583</v>
      </c>
      <c r="AE47" s="1">
        <v>0.753031382274371</v>
      </c>
      <c r="AF47" s="1">
        <v>0.809190211948975</v>
      </c>
      <c r="AG47" s="1">
        <v>0.812022009093911</v>
      </c>
      <c r="AH47" s="1">
        <v>0.786323837118934</v>
      </c>
      <c r="AI47" s="1">
        <v>0.817608552953646</v>
      </c>
      <c r="AJ47" s="1">
        <v>0.790849469819701</v>
      </c>
      <c r="AK47" s="1">
        <v>0.797091862066803</v>
      </c>
      <c r="AL47" s="1">
        <v>0.809597513016068</v>
      </c>
      <c r="AM47" s="1">
        <v>0.32740374462321</v>
      </c>
      <c r="AN47" s="1">
        <v>0.642505691881022</v>
      </c>
      <c r="AO47" s="1">
        <v>45</v>
      </c>
    </row>
    <row r="48" s="1" customFormat="1" spans="1:41">
      <c r="A48" s="1" t="s">
        <v>203</v>
      </c>
      <c r="B48" s="1" t="s">
        <v>204</v>
      </c>
      <c r="C48" s="1">
        <v>488.156911</v>
      </c>
      <c r="D48" s="1" t="s">
        <v>205</v>
      </c>
      <c r="E48" s="1" t="s">
        <v>206</v>
      </c>
      <c r="F48" s="1" t="s">
        <v>44</v>
      </c>
      <c r="G48" s="1" t="s">
        <v>45</v>
      </c>
      <c r="H48" s="1">
        <v>8</v>
      </c>
      <c r="I48" s="1">
        <v>64</v>
      </c>
      <c r="J48" s="1">
        <v>61</v>
      </c>
      <c r="K48" s="1">
        <v>95.3125</v>
      </c>
      <c r="L48" s="1">
        <v>18</v>
      </c>
      <c r="M48" s="1">
        <v>28.125</v>
      </c>
      <c r="N48" s="1">
        <v>18</v>
      </c>
      <c r="O48" s="1">
        <v>28.125</v>
      </c>
      <c r="P48" s="1">
        <v>-7.2565</v>
      </c>
      <c r="Q48" s="1">
        <f t="shared" si="1"/>
        <v>-130.617</v>
      </c>
      <c r="R48" s="1">
        <v>-7.1645</v>
      </c>
      <c r="S48" s="1">
        <v>-9.479</v>
      </c>
      <c r="T48" s="1">
        <v>-5.585</v>
      </c>
      <c r="U48" s="1">
        <v>-5.93216666666666</v>
      </c>
      <c r="V48" s="1">
        <v>-5.937</v>
      </c>
      <c r="W48" s="1">
        <v>-6.21588888888889</v>
      </c>
      <c r="X48" s="1">
        <v>-6.284</v>
      </c>
      <c r="Y48" s="1">
        <v>0.22236690087431</v>
      </c>
      <c r="Z48" s="1">
        <v>0.230114237023729</v>
      </c>
      <c r="AA48" s="1">
        <v>0.645573770491803</v>
      </c>
      <c r="AB48" s="1">
        <v>0.64</v>
      </c>
      <c r="AC48" s="1">
        <v>0.201671841144503</v>
      </c>
      <c r="AD48" s="1">
        <v>0.200642083149163</v>
      </c>
      <c r="AE48" s="1">
        <v>0.769695971257425</v>
      </c>
      <c r="AF48" s="1">
        <v>0.79521169971005</v>
      </c>
      <c r="AG48" s="1">
        <v>0.804472153230926</v>
      </c>
      <c r="AH48" s="1">
        <v>0.792618118512799</v>
      </c>
      <c r="AI48" s="1">
        <v>0.819746432626047</v>
      </c>
      <c r="AJ48" s="1">
        <v>0.730379630936438</v>
      </c>
      <c r="AK48" s="1">
        <v>0.796162571399246</v>
      </c>
      <c r="AL48" s="1">
        <v>0.804146716517729</v>
      </c>
      <c r="AM48" s="1">
        <v>0.28740295694202</v>
      </c>
      <c r="AN48" s="1">
        <v>0.67858123785138</v>
      </c>
      <c r="AO48" s="1">
        <v>46</v>
      </c>
    </row>
    <row r="49" s="1" customFormat="1" spans="1:41">
      <c r="A49" s="1" t="s">
        <v>207</v>
      </c>
      <c r="B49" s="1" t="s">
        <v>208</v>
      </c>
      <c r="C49" s="1">
        <v>442.194753</v>
      </c>
      <c r="D49" s="1" t="s">
        <v>209</v>
      </c>
      <c r="E49" s="1" t="s">
        <v>210</v>
      </c>
      <c r="F49" s="1" t="s">
        <v>44</v>
      </c>
      <c r="G49" s="1" t="s">
        <v>45</v>
      </c>
      <c r="H49" s="1">
        <v>8</v>
      </c>
      <c r="I49" s="1">
        <v>64</v>
      </c>
      <c r="J49" s="1">
        <v>63</v>
      </c>
      <c r="K49" s="1">
        <v>98.4375</v>
      </c>
      <c r="L49" s="1">
        <v>30</v>
      </c>
      <c r="M49" s="1">
        <v>46.875</v>
      </c>
      <c r="N49" s="1">
        <v>30</v>
      </c>
      <c r="O49" s="1">
        <v>46.875</v>
      </c>
      <c r="P49" s="1">
        <v>-6.64976666666667</v>
      </c>
      <c r="Q49" s="1">
        <f t="shared" si="1"/>
        <v>-199.493</v>
      </c>
      <c r="R49" s="1">
        <v>-6.599</v>
      </c>
      <c r="S49" s="1">
        <v>-7.819</v>
      </c>
      <c r="T49" s="1">
        <v>-5.628</v>
      </c>
      <c r="U49" s="1">
        <v>-5.6866</v>
      </c>
      <c r="V49" s="1">
        <v>-5.6425</v>
      </c>
      <c r="W49" s="1">
        <v>-6.04983333333333</v>
      </c>
      <c r="X49" s="1">
        <v>-6.043</v>
      </c>
      <c r="Y49" s="1">
        <v>0.392509325795973</v>
      </c>
      <c r="Z49" s="1">
        <v>0.413475813834733</v>
      </c>
      <c r="AA49" s="1">
        <v>0.631904761904762</v>
      </c>
      <c r="AB49" s="1">
        <v>0.62</v>
      </c>
      <c r="AC49" s="1">
        <v>0.259974431538654</v>
      </c>
      <c r="AD49" s="1">
        <v>0.265922533618544</v>
      </c>
      <c r="AE49" s="1">
        <v>0.776833253750914</v>
      </c>
      <c r="AF49" s="1">
        <v>0.80244790275077</v>
      </c>
      <c r="AG49" s="1">
        <v>0.811224016307835</v>
      </c>
      <c r="AH49" s="1">
        <v>0.799765686670511</v>
      </c>
      <c r="AI49" s="1">
        <v>0.806397834651159</v>
      </c>
      <c r="AJ49" s="1" t="s">
        <v>49</v>
      </c>
      <c r="AK49" s="1">
        <v>0.81298947243548</v>
      </c>
      <c r="AL49" s="1">
        <v>0.831020316551075</v>
      </c>
      <c r="AM49" s="1">
        <v>0.385348350868363</v>
      </c>
      <c r="AN49" s="1">
        <v>0.666171247812363</v>
      </c>
      <c r="AO49" s="1">
        <v>47</v>
      </c>
    </row>
    <row r="50" s="1" customFormat="1" spans="1:41">
      <c r="A50" s="1" t="s">
        <v>161</v>
      </c>
      <c r="B50" s="1" t="s">
        <v>211</v>
      </c>
      <c r="C50" s="1">
        <v>797.594461</v>
      </c>
      <c r="D50" s="1" t="s">
        <v>212</v>
      </c>
      <c r="E50" s="1" t="s">
        <v>213</v>
      </c>
      <c r="F50" s="1" t="s">
        <v>44</v>
      </c>
      <c r="G50" s="1" t="s">
        <v>45</v>
      </c>
      <c r="H50" s="1">
        <v>8</v>
      </c>
      <c r="I50" s="1">
        <v>64</v>
      </c>
      <c r="J50" s="1">
        <v>62</v>
      </c>
      <c r="K50" s="1">
        <v>96.875</v>
      </c>
      <c r="L50" s="1">
        <v>25</v>
      </c>
      <c r="M50" s="1">
        <v>39.0625</v>
      </c>
      <c r="N50" s="1">
        <v>25</v>
      </c>
      <c r="O50" s="1">
        <v>39.0625</v>
      </c>
      <c r="P50" s="1">
        <v>-7.01656</v>
      </c>
      <c r="Q50" s="1">
        <f t="shared" si="1"/>
        <v>-175.414</v>
      </c>
      <c r="R50" s="1">
        <v>-6.893</v>
      </c>
      <c r="S50" s="1">
        <v>-8.942</v>
      </c>
      <c r="T50" s="1">
        <v>-5.216</v>
      </c>
      <c r="U50" s="1">
        <v>-5.27692</v>
      </c>
      <c r="V50" s="1">
        <v>-5.182</v>
      </c>
      <c r="W50" s="1">
        <v>-5.63532</v>
      </c>
      <c r="X50" s="1">
        <v>-5.635</v>
      </c>
      <c r="Y50" s="1">
        <v>0.266330383640234</v>
      </c>
      <c r="Z50" s="1">
        <v>0.235111624253942</v>
      </c>
      <c r="AA50" s="1">
        <v>0.573114754098361</v>
      </c>
      <c r="AB50" s="1">
        <v>0.56</v>
      </c>
      <c r="AC50" s="1">
        <v>0.231288466810692</v>
      </c>
      <c r="AD50" s="1">
        <v>0.237485422720296</v>
      </c>
      <c r="AE50" s="1">
        <v>0.727225255115036</v>
      </c>
      <c r="AF50" s="1">
        <v>0.799706446398562</v>
      </c>
      <c r="AG50" s="1" t="s">
        <v>49</v>
      </c>
      <c r="AH50" s="1">
        <v>0.795032734767009</v>
      </c>
      <c r="AI50" s="1">
        <v>0.812269818011788</v>
      </c>
      <c r="AJ50" s="1" t="s">
        <v>49</v>
      </c>
      <c r="AK50" s="1">
        <v>0.80969461520312</v>
      </c>
      <c r="AL50" s="1">
        <v>0.828821849516077</v>
      </c>
      <c r="AM50" s="1">
        <v>0.275194620199603</v>
      </c>
      <c r="AN50" s="1">
        <v>0.597536094119256</v>
      </c>
      <c r="AO50" s="1">
        <v>48</v>
      </c>
    </row>
    <row r="51" s="1" customFormat="1" spans="1:41">
      <c r="A51" s="1" t="s">
        <v>214</v>
      </c>
      <c r="B51" s="1" t="s">
        <v>215</v>
      </c>
      <c r="C51" s="1">
        <v>729.584865</v>
      </c>
      <c r="D51" s="1" t="s">
        <v>216</v>
      </c>
      <c r="E51" s="1" t="s">
        <v>217</v>
      </c>
      <c r="F51" s="1" t="s">
        <v>44</v>
      </c>
      <c r="G51" s="1" t="s">
        <v>45</v>
      </c>
      <c r="H51" s="1">
        <v>8</v>
      </c>
      <c r="I51" s="1">
        <v>64</v>
      </c>
      <c r="J51" s="1">
        <v>60</v>
      </c>
      <c r="K51" s="1">
        <v>93.75</v>
      </c>
      <c r="L51" s="1">
        <v>23</v>
      </c>
      <c r="M51" s="1">
        <v>35.9375</v>
      </c>
      <c r="N51" s="1">
        <v>23</v>
      </c>
      <c r="O51" s="1">
        <v>35.9375</v>
      </c>
      <c r="P51" s="1">
        <v>-10.7707826086957</v>
      </c>
      <c r="Q51" s="1">
        <f t="shared" si="1"/>
        <v>-247.728000000001</v>
      </c>
      <c r="R51" s="1">
        <v>-10.846</v>
      </c>
      <c r="S51" s="1">
        <v>-13.604</v>
      </c>
      <c r="T51" s="1">
        <v>-8</v>
      </c>
      <c r="U51" s="1">
        <v>-9.08169565217391</v>
      </c>
      <c r="V51" s="1">
        <v>-9.904</v>
      </c>
      <c r="W51" s="1">
        <v>-10.306</v>
      </c>
      <c r="X51" s="1">
        <v>-10.11</v>
      </c>
      <c r="Y51" s="1">
        <v>0.274104469668031</v>
      </c>
      <c r="Z51" s="1">
        <v>0.261820375495797</v>
      </c>
      <c r="AA51" s="1">
        <v>0.596166666666667</v>
      </c>
      <c r="AB51" s="1">
        <v>0.58</v>
      </c>
      <c r="AC51" s="1">
        <v>0.265205032139196</v>
      </c>
      <c r="AD51" s="1">
        <v>0.285966628764102</v>
      </c>
      <c r="AE51" s="1">
        <v>0.717237903874046</v>
      </c>
      <c r="AF51" s="1">
        <v>0.801260671098376</v>
      </c>
      <c r="AG51" s="1">
        <v>0.797056461280623</v>
      </c>
      <c r="AH51" s="1">
        <v>0.792251263857956</v>
      </c>
      <c r="AI51" s="1">
        <v>0.815364263908438</v>
      </c>
      <c r="AJ51" s="1">
        <v>0.749810731054508</v>
      </c>
      <c r="AK51" s="1">
        <v>0.81127818224512</v>
      </c>
      <c r="AL51" s="1">
        <v>0.796929015720886</v>
      </c>
      <c r="AM51" s="1">
        <v>0.262812773565307</v>
      </c>
      <c r="AN51" s="1">
        <v>0.57406918567007</v>
      </c>
      <c r="AO51" s="1">
        <v>49</v>
      </c>
    </row>
    <row r="52" s="1" customFormat="1" spans="1:41">
      <c r="A52" s="1" t="s">
        <v>218</v>
      </c>
      <c r="B52" s="1" t="s">
        <v>219</v>
      </c>
      <c r="C52" s="1">
        <v>648.324319</v>
      </c>
      <c r="D52" s="1" t="s">
        <v>220</v>
      </c>
      <c r="E52" s="1" t="s">
        <v>221</v>
      </c>
      <c r="F52" s="1" t="s">
        <v>44</v>
      </c>
      <c r="G52" s="1" t="s">
        <v>45</v>
      </c>
      <c r="H52" s="1">
        <v>8</v>
      </c>
      <c r="I52" s="1">
        <v>64</v>
      </c>
      <c r="J52" s="1">
        <v>64</v>
      </c>
      <c r="K52" s="1">
        <v>100</v>
      </c>
      <c r="L52" s="1">
        <v>58</v>
      </c>
      <c r="M52" s="1">
        <v>90.625</v>
      </c>
      <c r="N52" s="1">
        <v>58</v>
      </c>
      <c r="O52" s="1">
        <v>90.625</v>
      </c>
      <c r="P52" s="1">
        <v>-4.53475862068966</v>
      </c>
      <c r="Q52" s="1">
        <f t="shared" si="1"/>
        <v>-263.016</v>
      </c>
      <c r="R52" s="1">
        <v>-4.2925</v>
      </c>
      <c r="S52" s="1">
        <v>-6.656</v>
      </c>
      <c r="T52" s="1">
        <v>-3.459</v>
      </c>
      <c r="U52" s="1">
        <v>-2.80786206896552</v>
      </c>
      <c r="V52" s="1">
        <v>-2.868</v>
      </c>
      <c r="W52" s="1">
        <v>-3.20827586206896</v>
      </c>
      <c r="X52" s="1">
        <v>-3.1955</v>
      </c>
      <c r="Y52" s="1">
        <v>0.440463644093899</v>
      </c>
      <c r="Z52" s="1">
        <v>0.466253548553848</v>
      </c>
      <c r="AA52" s="1">
        <v>0.71390625</v>
      </c>
      <c r="AB52" s="1">
        <v>0.72</v>
      </c>
      <c r="AC52" s="1">
        <v>0.189871646072265</v>
      </c>
      <c r="AD52" s="1">
        <v>0.157161549515756</v>
      </c>
      <c r="AE52" s="1">
        <v>0.779595884690303</v>
      </c>
      <c r="AF52" s="1">
        <v>0.812401861410313</v>
      </c>
      <c r="AG52" s="1">
        <v>0.818964122685517</v>
      </c>
      <c r="AH52" s="1">
        <v>0.808189401872676</v>
      </c>
      <c r="AI52" s="1">
        <v>0.820911114893915</v>
      </c>
      <c r="AJ52" s="1">
        <v>0.830676071912075</v>
      </c>
      <c r="AK52" s="1">
        <v>0.810244734164723</v>
      </c>
      <c r="AL52" s="1">
        <v>0.804193732446988</v>
      </c>
      <c r="AM52" s="1">
        <v>0.469927709549557</v>
      </c>
      <c r="AN52" s="1">
        <v>0.686153591108549</v>
      </c>
      <c r="AO52" s="1">
        <v>50</v>
      </c>
    </row>
    <row r="53" s="1" customFormat="1" spans="1:41">
      <c r="A53" s="1" t="s">
        <v>222</v>
      </c>
      <c r="B53" s="1" t="s">
        <v>223</v>
      </c>
      <c r="C53" s="1">
        <v>2044.735082</v>
      </c>
      <c r="D53" s="1" t="s">
        <v>224</v>
      </c>
      <c r="E53" s="1" t="s">
        <v>225</v>
      </c>
      <c r="F53" s="1" t="s">
        <v>44</v>
      </c>
      <c r="G53" s="1" t="s">
        <v>45</v>
      </c>
      <c r="H53" s="1">
        <v>8</v>
      </c>
      <c r="I53" s="1">
        <v>64</v>
      </c>
      <c r="J53" s="1">
        <v>64</v>
      </c>
      <c r="K53" s="1">
        <v>100</v>
      </c>
      <c r="L53" s="1">
        <v>40</v>
      </c>
      <c r="M53" s="1">
        <v>62.5</v>
      </c>
      <c r="N53" s="1">
        <v>40</v>
      </c>
      <c r="O53" s="1">
        <v>62.5</v>
      </c>
      <c r="P53" s="1">
        <v>-8.70695</v>
      </c>
      <c r="Q53" s="1">
        <f t="shared" si="1"/>
        <v>-348.278</v>
      </c>
      <c r="R53" s="1">
        <v>-8.4705</v>
      </c>
      <c r="S53" s="1">
        <v>-10.994</v>
      </c>
      <c r="T53" s="1">
        <v>-7.376</v>
      </c>
      <c r="U53" s="1">
        <v>-6.394125</v>
      </c>
      <c r="V53" s="1">
        <v>-6.3685</v>
      </c>
      <c r="W53" s="1">
        <v>-6.819375</v>
      </c>
      <c r="X53" s="1">
        <v>-6.923</v>
      </c>
      <c r="Y53" s="1">
        <v>0.184650940550576</v>
      </c>
      <c r="Z53" s="1">
        <v>0.184793480203253</v>
      </c>
      <c r="AA53" s="1">
        <v>0.57359375</v>
      </c>
      <c r="AB53" s="1">
        <v>0.565</v>
      </c>
      <c r="AC53" s="1">
        <v>0.146939798421708</v>
      </c>
      <c r="AD53" s="1">
        <v>0.131768280925278</v>
      </c>
      <c r="AE53" s="1">
        <v>0.727401266552007</v>
      </c>
      <c r="AF53" s="1">
        <v>0.802313296650931</v>
      </c>
      <c r="AG53" s="1">
        <v>0.825915794118856</v>
      </c>
      <c r="AH53" s="1">
        <v>0.788149260116424</v>
      </c>
      <c r="AI53" s="1">
        <v>0.812170709471995</v>
      </c>
      <c r="AJ53" s="1">
        <v>0.74305141376665</v>
      </c>
      <c r="AK53" s="1">
        <v>0.79322263001224</v>
      </c>
      <c r="AL53" s="1">
        <v>0.795930320014388</v>
      </c>
      <c r="AM53" s="1">
        <v>0.270132161604709</v>
      </c>
      <c r="AN53" s="1">
        <v>0.600086764016179</v>
      </c>
      <c r="AO53" s="1">
        <v>51</v>
      </c>
    </row>
    <row r="54" s="1" customFormat="1" spans="1:41">
      <c r="A54" s="1" t="s">
        <v>226</v>
      </c>
      <c r="B54" s="1" t="s">
        <v>227</v>
      </c>
      <c r="C54" s="1">
        <v>1643.345453</v>
      </c>
      <c r="D54" s="1" t="s">
        <v>228</v>
      </c>
      <c r="E54" s="1" t="s">
        <v>229</v>
      </c>
      <c r="F54" s="1" t="s">
        <v>44</v>
      </c>
      <c r="G54" s="1" t="s">
        <v>45</v>
      </c>
      <c r="H54" s="1">
        <v>8</v>
      </c>
      <c r="I54" s="1">
        <v>64</v>
      </c>
      <c r="J54" s="1">
        <v>64</v>
      </c>
      <c r="K54" s="1">
        <v>100</v>
      </c>
      <c r="L54" s="1">
        <v>32</v>
      </c>
      <c r="M54" s="1">
        <v>50</v>
      </c>
      <c r="N54" s="1">
        <v>32</v>
      </c>
      <c r="O54" s="1">
        <v>50</v>
      </c>
      <c r="P54" s="1">
        <v>-8.7188125</v>
      </c>
      <c r="Q54" s="1">
        <f t="shared" si="1"/>
        <v>-279.002</v>
      </c>
      <c r="R54" s="1">
        <v>-8.7975</v>
      </c>
      <c r="S54" s="1">
        <v>-13.241</v>
      </c>
      <c r="T54" s="1">
        <v>-6.713</v>
      </c>
      <c r="U54" s="1">
        <v>-6.446</v>
      </c>
      <c r="V54" s="1">
        <v>-6.1785</v>
      </c>
      <c r="W54" s="1">
        <v>-6.893625</v>
      </c>
      <c r="X54" s="1">
        <v>-6.8055</v>
      </c>
      <c r="Y54" s="1">
        <v>0.162126641889536</v>
      </c>
      <c r="Z54" s="1">
        <v>0.143466197878887</v>
      </c>
      <c r="AA54" s="1">
        <v>0.5678125</v>
      </c>
      <c r="AB54" s="1">
        <v>0.57</v>
      </c>
      <c r="AC54" s="1">
        <v>0.151417192337313</v>
      </c>
      <c r="AD54" s="1">
        <v>0.144321268555241</v>
      </c>
      <c r="AE54" s="1">
        <v>0.747870325417145</v>
      </c>
      <c r="AF54" s="1">
        <v>0.803155628694603</v>
      </c>
      <c r="AG54" s="1">
        <v>0.786634974010805</v>
      </c>
      <c r="AH54" s="1">
        <v>0.779504285138536</v>
      </c>
      <c r="AI54" s="1">
        <v>0.815077967530839</v>
      </c>
      <c r="AJ54" s="1">
        <v>0.807493758048679</v>
      </c>
      <c r="AK54" s="1">
        <v>0.803017136770019</v>
      </c>
      <c r="AL54" s="1">
        <v>0.812907805941462</v>
      </c>
      <c r="AM54" s="1">
        <v>0.250844959765416</v>
      </c>
      <c r="AN54" s="1">
        <v>0.616130294555585</v>
      </c>
      <c r="AO54" s="1">
        <v>52</v>
      </c>
    </row>
    <row r="55" s="1" customFormat="1" spans="1:41">
      <c r="A55" s="1" t="s">
        <v>230</v>
      </c>
      <c r="B55" s="1" t="s">
        <v>231</v>
      </c>
      <c r="C55" s="1">
        <v>1658.56956</v>
      </c>
      <c r="D55" s="1" t="s">
        <v>232</v>
      </c>
      <c r="E55" s="1" t="s">
        <v>233</v>
      </c>
      <c r="F55" s="1" t="s">
        <v>44</v>
      </c>
      <c r="G55" s="1" t="s">
        <v>45</v>
      </c>
      <c r="H55" s="1">
        <v>8</v>
      </c>
      <c r="I55" s="1">
        <v>64</v>
      </c>
      <c r="J55" s="1">
        <v>63</v>
      </c>
      <c r="K55" s="1">
        <v>98.4375</v>
      </c>
      <c r="L55" s="1">
        <v>25</v>
      </c>
      <c r="M55" s="1">
        <v>39.0625</v>
      </c>
      <c r="N55" s="1">
        <v>25</v>
      </c>
      <c r="O55" s="1">
        <v>39.0625</v>
      </c>
      <c r="P55" s="1">
        <v>-9.29724</v>
      </c>
      <c r="Q55" s="1">
        <f t="shared" si="1"/>
        <v>-232.431</v>
      </c>
      <c r="R55" s="1">
        <v>-9.238</v>
      </c>
      <c r="S55" s="1">
        <v>-12.206</v>
      </c>
      <c r="T55" s="1">
        <v>-7.667</v>
      </c>
      <c r="U55" s="1">
        <v>-2.76292</v>
      </c>
      <c r="V55" s="1">
        <v>-5.667</v>
      </c>
      <c r="W55" s="1">
        <v>-4.95792</v>
      </c>
      <c r="X55" s="1">
        <v>-6.079</v>
      </c>
      <c r="Y55" s="1">
        <v>0.11378292888649</v>
      </c>
      <c r="Z55" s="1">
        <v>0.084215435130555</v>
      </c>
      <c r="AA55" s="1">
        <v>0.54031746031746</v>
      </c>
      <c r="AB55" s="1">
        <v>0.54</v>
      </c>
      <c r="AC55" s="1">
        <v>0.210401947992514</v>
      </c>
      <c r="AD55" s="1">
        <v>0.189875656649541</v>
      </c>
      <c r="AE55" s="1">
        <v>0.714804700837431</v>
      </c>
      <c r="AF55" s="1">
        <v>0.793473522661069</v>
      </c>
      <c r="AG55" s="1">
        <v>0.791829607799827</v>
      </c>
      <c r="AH55" s="1">
        <v>0.790825099116219</v>
      </c>
      <c r="AI55" s="1">
        <v>0.812200293837155</v>
      </c>
      <c r="AJ55" s="1">
        <v>0.828477770481492</v>
      </c>
      <c r="AK55" s="1">
        <v>0.792867552289737</v>
      </c>
      <c r="AL55" s="1">
        <v>0.811632842682891</v>
      </c>
      <c r="AM55" s="1">
        <v>0.271638574683269</v>
      </c>
      <c r="AN55" s="1">
        <v>0.582457870019143</v>
      </c>
      <c r="AO55" s="1">
        <v>53</v>
      </c>
    </row>
    <row r="56" s="1" customFormat="1" spans="1:41">
      <c r="A56" s="1" t="s">
        <v>234</v>
      </c>
      <c r="B56" s="1" t="s">
        <v>235</v>
      </c>
      <c r="C56" s="1">
        <v>1774.892277</v>
      </c>
      <c r="D56" s="1" t="s">
        <v>236</v>
      </c>
      <c r="E56" s="1" t="s">
        <v>237</v>
      </c>
      <c r="F56" s="1" t="s">
        <v>44</v>
      </c>
      <c r="G56" s="1" t="s">
        <v>45</v>
      </c>
      <c r="H56" s="1">
        <v>8</v>
      </c>
      <c r="I56" s="1">
        <v>64</v>
      </c>
      <c r="J56" s="1">
        <v>63</v>
      </c>
      <c r="K56" s="1">
        <v>98.4375</v>
      </c>
      <c r="L56" s="1">
        <v>24</v>
      </c>
      <c r="M56" s="1">
        <v>37.5</v>
      </c>
      <c r="N56" s="1">
        <v>24</v>
      </c>
      <c r="O56" s="1">
        <v>37.5</v>
      </c>
      <c r="P56" s="1">
        <v>-9.17320833333333</v>
      </c>
      <c r="Q56" s="1">
        <f t="shared" si="1"/>
        <v>-220.157</v>
      </c>
      <c r="R56" s="1">
        <v>-9.059</v>
      </c>
      <c r="S56" s="1">
        <v>-13.925</v>
      </c>
      <c r="T56" s="1">
        <v>-6.655</v>
      </c>
      <c r="U56" s="1">
        <v>-6.23475</v>
      </c>
      <c r="V56" s="1">
        <v>-6.1615</v>
      </c>
      <c r="W56" s="1">
        <v>-6.58416666666667</v>
      </c>
      <c r="X56" s="1">
        <v>-6.418</v>
      </c>
      <c r="Y56" s="1">
        <v>0.181705222621861</v>
      </c>
      <c r="Z56" s="1">
        <v>0.15379859040503</v>
      </c>
      <c r="AA56" s="1">
        <v>0.593968253968254</v>
      </c>
      <c r="AB56" s="1">
        <v>0.59</v>
      </c>
      <c r="AC56" s="1">
        <v>0.208148016040375</v>
      </c>
      <c r="AD56" s="1">
        <v>0.210110833197191</v>
      </c>
      <c r="AE56" s="1">
        <v>0.723985034232099</v>
      </c>
      <c r="AF56" s="1">
        <v>0.794267448315031</v>
      </c>
      <c r="AG56" s="1">
        <v>0.830559661796286</v>
      </c>
      <c r="AH56" s="1">
        <v>0.796036492417484</v>
      </c>
      <c r="AI56" s="1">
        <v>0.811669434384446</v>
      </c>
      <c r="AJ56" s="1">
        <v>0.819975084625188</v>
      </c>
      <c r="AK56" s="1">
        <v>0.802555010461812</v>
      </c>
      <c r="AL56" s="1">
        <v>0.812214094683863</v>
      </c>
      <c r="AM56" s="1">
        <v>0.277404793377684</v>
      </c>
      <c r="AN56" s="1">
        <v>0.589015580376869</v>
      </c>
      <c r="AO56" s="1">
        <v>54</v>
      </c>
    </row>
    <row r="57" s="1" customFormat="1" spans="1:41">
      <c r="A57" s="1" t="s">
        <v>238</v>
      </c>
      <c r="B57" s="1" t="s">
        <v>239</v>
      </c>
      <c r="C57" s="1">
        <v>631.190692</v>
      </c>
      <c r="D57" s="1" t="s">
        <v>240</v>
      </c>
      <c r="E57" s="1" t="s">
        <v>241</v>
      </c>
      <c r="F57" s="1" t="s">
        <v>44</v>
      </c>
      <c r="G57" s="1" t="s">
        <v>45</v>
      </c>
      <c r="H57" s="1">
        <v>8</v>
      </c>
      <c r="I57" s="1">
        <v>64</v>
      </c>
      <c r="J57" s="1">
        <v>63</v>
      </c>
      <c r="K57" s="1">
        <v>98.4375</v>
      </c>
      <c r="L57" s="1">
        <v>52</v>
      </c>
      <c r="M57" s="1">
        <v>81.25</v>
      </c>
      <c r="N57" s="1">
        <v>52</v>
      </c>
      <c r="O57" s="1">
        <v>81.25</v>
      </c>
      <c r="P57" s="1">
        <v>-5.84153846153846</v>
      </c>
      <c r="Q57" s="1">
        <f t="shared" si="1"/>
        <v>-303.76</v>
      </c>
      <c r="R57" s="1">
        <v>-5.3685</v>
      </c>
      <c r="S57" s="1">
        <v>-9.485</v>
      </c>
      <c r="T57" s="1">
        <v>-4.086</v>
      </c>
      <c r="U57" s="1">
        <v>-3.00842307692308</v>
      </c>
      <c r="V57" s="1">
        <v>-3.166</v>
      </c>
      <c r="W57" s="1">
        <v>-3.99521153846154</v>
      </c>
      <c r="X57" s="1">
        <v>-3.833</v>
      </c>
      <c r="Y57" s="1">
        <v>0.407795323899849</v>
      </c>
      <c r="Z57" s="1">
        <v>0.407859124725228</v>
      </c>
      <c r="AA57" s="1">
        <v>0.700967741935484</v>
      </c>
      <c r="AB57" s="1">
        <v>0.71</v>
      </c>
      <c r="AC57" s="1">
        <v>0.216976075643655</v>
      </c>
      <c r="AD57" s="1">
        <v>0.24190614713048</v>
      </c>
      <c r="AE57" s="1">
        <v>0.78634126962787</v>
      </c>
      <c r="AF57" s="1">
        <v>0.807672609888475</v>
      </c>
      <c r="AG57" s="1">
        <v>0.77642459000626</v>
      </c>
      <c r="AH57" s="1">
        <v>0.813711570913961</v>
      </c>
      <c r="AI57" s="1">
        <v>0.830993950270039</v>
      </c>
      <c r="AJ57" s="1" t="s">
        <v>49</v>
      </c>
      <c r="AK57" s="1">
        <v>0.821073311316014</v>
      </c>
      <c r="AL57" s="1">
        <v>0.816306520097725</v>
      </c>
      <c r="AM57" s="1">
        <v>0.526132470500034</v>
      </c>
      <c r="AN57" s="1">
        <v>0.705206924251012</v>
      </c>
      <c r="AO57" s="1">
        <v>55</v>
      </c>
    </row>
    <row r="58" s="1" customFormat="1" spans="1:41">
      <c r="A58" s="1" t="s">
        <v>242</v>
      </c>
      <c r="B58" s="1" t="s">
        <v>243</v>
      </c>
      <c r="C58" s="1">
        <v>520.636679</v>
      </c>
      <c r="D58" s="1" t="s">
        <v>244</v>
      </c>
      <c r="E58" s="1" t="s">
        <v>245</v>
      </c>
      <c r="F58" s="1" t="s">
        <v>44</v>
      </c>
      <c r="G58" s="1" t="s">
        <v>45</v>
      </c>
      <c r="H58" s="1">
        <v>8</v>
      </c>
      <c r="I58" s="1">
        <v>64</v>
      </c>
      <c r="J58" s="1">
        <v>64</v>
      </c>
      <c r="K58" s="1">
        <v>100</v>
      </c>
      <c r="L58" s="1">
        <v>47</v>
      </c>
      <c r="M58" s="1">
        <v>73.4375</v>
      </c>
      <c r="N58" s="1">
        <v>47</v>
      </c>
      <c r="O58" s="1">
        <v>73.4375</v>
      </c>
      <c r="P58" s="1">
        <v>-5.76178723404255</v>
      </c>
      <c r="Q58" s="1">
        <f t="shared" si="1"/>
        <v>-270.804</v>
      </c>
      <c r="R58" s="1">
        <v>-5.214</v>
      </c>
      <c r="S58" s="1">
        <v>-10.899</v>
      </c>
      <c r="T58" s="1">
        <v>-4.443</v>
      </c>
      <c r="U58" s="1">
        <v>-2.77868085106383</v>
      </c>
      <c r="V58" s="1">
        <v>-3.201</v>
      </c>
      <c r="W58" s="1">
        <v>-3.91993617021276</v>
      </c>
      <c r="X58" s="1">
        <v>-3.697</v>
      </c>
      <c r="Y58" s="1">
        <v>0.38586298405012</v>
      </c>
      <c r="Z58" s="1">
        <v>0.352704890649983</v>
      </c>
      <c r="AA58" s="1">
        <v>0.67703125</v>
      </c>
      <c r="AB58" s="1">
        <v>0.68</v>
      </c>
      <c r="AC58" s="1">
        <v>0.208668323317316</v>
      </c>
      <c r="AD58" s="1">
        <v>0.189717866681972</v>
      </c>
      <c r="AE58" s="1">
        <v>0.78941627246709</v>
      </c>
      <c r="AF58" s="1">
        <v>0.811414237300324</v>
      </c>
      <c r="AG58" s="1" t="s">
        <v>49</v>
      </c>
      <c r="AH58" s="1">
        <v>0.808905024600811</v>
      </c>
      <c r="AI58" s="1">
        <v>0.82233732413722</v>
      </c>
      <c r="AJ58" s="1" t="s">
        <v>49</v>
      </c>
      <c r="AK58" s="1">
        <v>0.811535742886442</v>
      </c>
      <c r="AL58" s="1">
        <v>0.813268216475002</v>
      </c>
      <c r="AM58" s="1">
        <v>0.488304144559508</v>
      </c>
      <c r="AN58" s="1">
        <v>0.71258261445525</v>
      </c>
      <c r="AO58" s="1">
        <v>56</v>
      </c>
    </row>
    <row r="59" s="1" customFormat="1" spans="1:41">
      <c r="A59" s="1" t="s">
        <v>246</v>
      </c>
      <c r="B59" s="1" t="s">
        <v>247</v>
      </c>
      <c r="C59" s="1">
        <v>1498.50258</v>
      </c>
      <c r="D59" s="1" t="s">
        <v>248</v>
      </c>
      <c r="E59" s="1" t="s">
        <v>249</v>
      </c>
      <c r="F59" s="1" t="s">
        <v>44</v>
      </c>
      <c r="G59" s="1" t="s">
        <v>45</v>
      </c>
      <c r="H59" s="1">
        <v>8</v>
      </c>
      <c r="I59" s="1">
        <v>64</v>
      </c>
      <c r="J59" s="1">
        <v>63</v>
      </c>
      <c r="K59" s="1">
        <v>98.4375</v>
      </c>
      <c r="L59" s="1">
        <v>42</v>
      </c>
      <c r="M59" s="1">
        <v>65.625</v>
      </c>
      <c r="N59" s="1">
        <v>42</v>
      </c>
      <c r="O59" s="1">
        <v>65.625</v>
      </c>
      <c r="P59" s="1">
        <v>-8.31342857142857</v>
      </c>
      <c r="Q59" s="1">
        <f t="shared" si="1"/>
        <v>-349.164</v>
      </c>
      <c r="R59" s="1">
        <v>-8.5655</v>
      </c>
      <c r="S59" s="1">
        <v>-11.502</v>
      </c>
      <c r="T59" s="1">
        <v>-5.039</v>
      </c>
      <c r="U59" s="1">
        <v>-5.23704761904762</v>
      </c>
      <c r="V59" s="1">
        <v>-5.113</v>
      </c>
      <c r="W59" s="1">
        <v>-5.60502380952381</v>
      </c>
      <c r="X59" s="1">
        <v>-5.4515</v>
      </c>
      <c r="Y59" s="1">
        <v>0.273178317351168</v>
      </c>
      <c r="Z59" s="1">
        <v>0.261111477923638</v>
      </c>
      <c r="AA59" s="1">
        <v>0.612539682539683</v>
      </c>
      <c r="AB59" s="1">
        <v>0.62</v>
      </c>
      <c r="AC59" s="1">
        <v>0.210573572114615</v>
      </c>
      <c r="AD59" s="1">
        <v>0.200601975884983</v>
      </c>
      <c r="AE59" s="1">
        <v>0.740814112460631</v>
      </c>
      <c r="AF59" s="1">
        <v>0.796571170416245</v>
      </c>
      <c r="AG59" s="1">
        <v>0.763682280910674</v>
      </c>
      <c r="AH59" s="1">
        <v>0.80118268981616</v>
      </c>
      <c r="AI59" s="1">
        <v>0.820604930781111</v>
      </c>
      <c r="AJ59" s="1">
        <v>0.793672451794716</v>
      </c>
      <c r="AK59" s="1">
        <v>0.795887881536157</v>
      </c>
      <c r="AL59" s="1">
        <v>0.809267550581206</v>
      </c>
      <c r="AM59" s="1">
        <v>0.286318711314951</v>
      </c>
      <c r="AN59" s="1">
        <v>0.612529675665593</v>
      </c>
      <c r="AO59" s="1">
        <v>57</v>
      </c>
    </row>
    <row r="60" s="1" customFormat="1" spans="1:41">
      <c r="A60" s="1" t="s">
        <v>250</v>
      </c>
      <c r="B60" s="1" t="s">
        <v>251</v>
      </c>
      <c r="C60" s="1">
        <v>850.092549</v>
      </c>
      <c r="D60" s="1" t="s">
        <v>252</v>
      </c>
      <c r="E60" s="1" t="s">
        <v>253</v>
      </c>
      <c r="F60" s="1" t="s">
        <v>44</v>
      </c>
      <c r="G60" s="1" t="s">
        <v>45</v>
      </c>
      <c r="H60" s="1">
        <v>8</v>
      </c>
      <c r="I60" s="1">
        <v>64</v>
      </c>
      <c r="J60" s="1">
        <v>64</v>
      </c>
      <c r="K60" s="1">
        <v>100</v>
      </c>
      <c r="L60" s="1">
        <v>42</v>
      </c>
      <c r="M60" s="1">
        <v>65.625</v>
      </c>
      <c r="N60" s="1">
        <v>42</v>
      </c>
      <c r="O60" s="1">
        <v>65.625</v>
      </c>
      <c r="P60" s="1">
        <v>-6.24135714285714</v>
      </c>
      <c r="Q60" s="1">
        <f t="shared" si="1"/>
        <v>-262.137</v>
      </c>
      <c r="R60" s="1">
        <v>-6.24</v>
      </c>
      <c r="S60" s="1">
        <v>-7.946</v>
      </c>
      <c r="T60" s="1">
        <v>-4.57</v>
      </c>
      <c r="U60" s="1">
        <v>35.4356904761905</v>
      </c>
      <c r="V60" s="1">
        <v>43.928</v>
      </c>
      <c r="W60" s="1">
        <v>7.32538095238095</v>
      </c>
      <c r="X60" s="1">
        <v>4.6545</v>
      </c>
      <c r="Y60" s="1">
        <v>0.331165378716691</v>
      </c>
      <c r="Z60" s="1">
        <v>0.266709504184849</v>
      </c>
      <c r="AA60" s="1">
        <v>0.5703125</v>
      </c>
      <c r="AB60" s="1">
        <v>0.58</v>
      </c>
      <c r="AC60" s="1">
        <v>0.219486711834887</v>
      </c>
      <c r="AD60" s="1">
        <v>0.206335094152272</v>
      </c>
      <c r="AE60" s="1">
        <v>0.769301035689639</v>
      </c>
      <c r="AF60" s="1">
        <v>0.811088594301329</v>
      </c>
      <c r="AG60" s="1">
        <v>0.787740677983699</v>
      </c>
      <c r="AH60" s="1">
        <v>0.788405788472191</v>
      </c>
      <c r="AI60" s="1">
        <v>0.815244015496592</v>
      </c>
      <c r="AJ60" s="1">
        <v>0.78933564110142</v>
      </c>
      <c r="AK60" s="1">
        <v>0.81887095841126</v>
      </c>
      <c r="AL60" s="1">
        <v>0.811923440646884</v>
      </c>
      <c r="AM60" s="1">
        <v>0.311113251612282</v>
      </c>
      <c r="AN60" s="1">
        <v>0.658920404444816</v>
      </c>
      <c r="AO60" s="1">
        <v>58</v>
      </c>
    </row>
    <row r="61" s="1" customFormat="1" spans="1:41">
      <c r="A61" s="1" t="s">
        <v>254</v>
      </c>
      <c r="B61" s="1" t="s">
        <v>255</v>
      </c>
      <c r="C61" s="1">
        <v>940.245367</v>
      </c>
      <c r="D61" s="1" t="s">
        <v>256</v>
      </c>
      <c r="E61" s="1" t="s">
        <v>257</v>
      </c>
      <c r="F61" s="1" t="s">
        <v>44</v>
      </c>
      <c r="G61" s="1" t="s">
        <v>45</v>
      </c>
      <c r="H61" s="1">
        <v>8</v>
      </c>
      <c r="I61" s="1">
        <v>64</v>
      </c>
      <c r="J61" s="1">
        <v>64</v>
      </c>
      <c r="K61" s="1">
        <v>100</v>
      </c>
      <c r="L61" s="1">
        <v>17</v>
      </c>
      <c r="M61" s="1">
        <v>26.5625</v>
      </c>
      <c r="N61" s="1">
        <v>17</v>
      </c>
      <c r="O61" s="1">
        <v>26.5625</v>
      </c>
      <c r="P61" s="1">
        <v>-10.1312352941176</v>
      </c>
      <c r="Q61" s="1">
        <f t="shared" si="1"/>
        <v>-172.230999999999</v>
      </c>
      <c r="R61" s="1">
        <v>-9.877</v>
      </c>
      <c r="S61" s="1">
        <v>-14.198</v>
      </c>
      <c r="T61" s="1">
        <v>-7.874</v>
      </c>
      <c r="U61" s="1">
        <v>4.147</v>
      </c>
      <c r="V61" s="1">
        <v>-3.245</v>
      </c>
      <c r="W61" s="1">
        <v>-2.12417647058823</v>
      </c>
      <c r="X61" s="1">
        <v>-7.475</v>
      </c>
      <c r="Y61" s="1">
        <v>0.135766682788863</v>
      </c>
      <c r="Z61" s="1">
        <v>0.103231331975123</v>
      </c>
      <c r="AA61" s="1">
        <v>0.5634375</v>
      </c>
      <c r="AB61" s="1">
        <v>0.56</v>
      </c>
      <c r="AC61" s="1">
        <v>0.141908134830027</v>
      </c>
      <c r="AD61" s="1">
        <v>0.137236494541784</v>
      </c>
      <c r="AE61" s="1">
        <v>0.752559834497897</v>
      </c>
      <c r="AF61" s="1">
        <v>0.802906978490778</v>
      </c>
      <c r="AG61" s="1">
        <v>0.813300486835852</v>
      </c>
      <c r="AH61" s="1">
        <v>0.773938994073522</v>
      </c>
      <c r="AI61" s="1">
        <v>0.811597919790393</v>
      </c>
      <c r="AJ61" s="1">
        <v>0.768507868818171</v>
      </c>
      <c r="AK61" s="1">
        <v>0.797281651952316</v>
      </c>
      <c r="AL61" s="1">
        <v>0.803653132940199</v>
      </c>
      <c r="AM61" s="1">
        <v>0.269839086605901</v>
      </c>
      <c r="AN61" s="1">
        <v>0.626702734417212</v>
      </c>
      <c r="AO61" s="1">
        <v>59</v>
      </c>
    </row>
    <row r="62" s="1" customFormat="1" spans="1:41">
      <c r="A62" s="1" t="s">
        <v>258</v>
      </c>
      <c r="B62" s="1" t="s">
        <v>259</v>
      </c>
      <c r="C62" s="1">
        <v>2640.498514</v>
      </c>
      <c r="D62" s="1" t="s">
        <v>260</v>
      </c>
      <c r="E62" s="1" t="s">
        <v>261</v>
      </c>
      <c r="F62" s="1" t="s">
        <v>44</v>
      </c>
      <c r="G62" s="1" t="s">
        <v>45</v>
      </c>
      <c r="H62" s="1">
        <v>8</v>
      </c>
      <c r="I62" s="1">
        <v>64</v>
      </c>
      <c r="J62" s="1">
        <v>62</v>
      </c>
      <c r="K62" s="1">
        <v>96.875</v>
      </c>
      <c r="L62" s="1">
        <v>46</v>
      </c>
      <c r="M62" s="1">
        <v>71.875</v>
      </c>
      <c r="N62" s="1">
        <v>46</v>
      </c>
      <c r="O62" s="1">
        <v>71.875</v>
      </c>
      <c r="P62" s="1">
        <v>-9.61184782608696</v>
      </c>
      <c r="Q62" s="1">
        <f t="shared" si="1"/>
        <v>-442.145</v>
      </c>
      <c r="R62" s="1">
        <v>-9.618</v>
      </c>
      <c r="S62" s="1">
        <v>-11.688</v>
      </c>
      <c r="T62" s="1">
        <v>-6.962</v>
      </c>
      <c r="U62" s="1">
        <v>-8.01919565217391</v>
      </c>
      <c r="V62" s="1">
        <v>-7.8715</v>
      </c>
      <c r="W62" s="1">
        <v>-8.43817391304348</v>
      </c>
      <c r="X62" s="1">
        <v>-8.3915</v>
      </c>
      <c r="Y62" s="1">
        <v>0.0962972762721584</v>
      </c>
      <c r="Z62" s="1">
        <v>0.0691884157100503</v>
      </c>
      <c r="AA62" s="1">
        <v>0.509516129032258</v>
      </c>
      <c r="AB62" s="1">
        <v>0.505</v>
      </c>
      <c r="AC62" s="1">
        <v>0.146457576577466</v>
      </c>
      <c r="AD62" s="1">
        <v>0.139990512048428</v>
      </c>
      <c r="AE62" s="1">
        <v>0.730986058329395</v>
      </c>
      <c r="AF62" s="1">
        <v>0.788338195976224</v>
      </c>
      <c r="AG62" s="1">
        <v>0.818807644284998</v>
      </c>
      <c r="AH62" s="1">
        <v>0.779696446361515</v>
      </c>
      <c r="AI62" s="1">
        <v>0.806156077212019</v>
      </c>
      <c r="AJ62" s="1">
        <v>0.832453442118371</v>
      </c>
      <c r="AK62" s="1">
        <v>0.797130352112847</v>
      </c>
      <c r="AL62" s="1">
        <v>0.796025363929468</v>
      </c>
      <c r="AM62" s="1">
        <v>0.239085564155657</v>
      </c>
      <c r="AN62" s="1">
        <v>0.596760198331322</v>
      </c>
      <c r="AO62" s="1">
        <v>60</v>
      </c>
    </row>
    <row r="63" s="1" customFormat="1" spans="1:41">
      <c r="A63" s="1" t="s">
        <v>262</v>
      </c>
      <c r="B63" s="1" t="s">
        <v>263</v>
      </c>
      <c r="C63" s="1">
        <v>262.273889</v>
      </c>
      <c r="D63" s="1" t="s">
        <v>264</v>
      </c>
      <c r="E63" s="1" t="s">
        <v>265</v>
      </c>
      <c r="F63" s="1" t="s">
        <v>44</v>
      </c>
      <c r="G63" s="1" t="s">
        <v>45</v>
      </c>
      <c r="H63" s="1">
        <v>8</v>
      </c>
      <c r="I63" s="1">
        <v>64</v>
      </c>
      <c r="J63" s="1">
        <v>63</v>
      </c>
      <c r="K63" s="1">
        <v>98.4375</v>
      </c>
      <c r="L63" s="1">
        <v>27</v>
      </c>
      <c r="M63" s="1">
        <v>42.1875</v>
      </c>
      <c r="N63" s="1">
        <v>27</v>
      </c>
      <c r="O63" s="1">
        <v>42.1875</v>
      </c>
      <c r="P63" s="1">
        <v>2.79144444444444</v>
      </c>
      <c r="Q63" s="1">
        <f t="shared" si="1"/>
        <v>75.3689999999999</v>
      </c>
      <c r="R63" s="1">
        <v>5.06</v>
      </c>
      <c r="S63" s="1">
        <v>-4.84</v>
      </c>
      <c r="T63" s="1">
        <v>13.956</v>
      </c>
      <c r="U63" s="1">
        <v>66.0714074074074</v>
      </c>
      <c r="V63" s="1">
        <v>97.129</v>
      </c>
      <c r="W63" s="1">
        <v>30.0293333333333</v>
      </c>
      <c r="X63" s="1">
        <v>15.898</v>
      </c>
      <c r="Y63" s="1">
        <v>0.442759468708513</v>
      </c>
      <c r="Z63" s="1">
        <v>0.462658726983119</v>
      </c>
      <c r="AA63" s="1">
        <v>0.723015873015873</v>
      </c>
      <c r="AB63" s="1">
        <v>0.74</v>
      </c>
      <c r="AC63" s="1">
        <v>0.260840143520709</v>
      </c>
      <c r="AD63" s="1">
        <v>0.260685576001006</v>
      </c>
      <c r="AE63" s="1">
        <v>0.785521243973346</v>
      </c>
      <c r="AF63" s="1">
        <v>0.817680772686717</v>
      </c>
      <c r="AG63" s="1">
        <v>0.658593243931387</v>
      </c>
      <c r="AH63" s="1">
        <v>0.794947607687093</v>
      </c>
      <c r="AI63" s="1">
        <v>0.831079797795548</v>
      </c>
      <c r="AJ63" s="1" t="s">
        <v>49</v>
      </c>
      <c r="AK63" s="1">
        <v>0.811136475821449</v>
      </c>
      <c r="AL63" s="1">
        <v>0.815324672462432</v>
      </c>
      <c r="AM63" s="1">
        <v>0.508250327472642</v>
      </c>
      <c r="AN63" s="1">
        <v>0.699963229558793</v>
      </c>
      <c r="AO63" s="1">
        <v>61</v>
      </c>
    </row>
    <row r="64" s="1" customFormat="1" spans="1:41">
      <c r="A64" s="1" t="s">
        <v>266</v>
      </c>
      <c r="B64" s="1" t="s">
        <v>267</v>
      </c>
      <c r="C64" s="1">
        <v>1109.602752</v>
      </c>
      <c r="D64" s="1" t="s">
        <v>268</v>
      </c>
      <c r="E64" s="1" t="s">
        <v>269</v>
      </c>
      <c r="F64" s="1" t="s">
        <v>44</v>
      </c>
      <c r="G64" s="1" t="s">
        <v>45</v>
      </c>
      <c r="H64" s="1">
        <v>8</v>
      </c>
      <c r="I64" s="1">
        <v>64</v>
      </c>
      <c r="J64" s="1">
        <v>59</v>
      </c>
      <c r="K64" s="1">
        <v>92.1875</v>
      </c>
      <c r="L64" s="1">
        <v>42</v>
      </c>
      <c r="M64" s="1">
        <v>65.625</v>
      </c>
      <c r="N64" s="1">
        <v>42</v>
      </c>
      <c r="O64" s="1">
        <v>65.625</v>
      </c>
      <c r="P64" s="1">
        <v>-7.73040476190476</v>
      </c>
      <c r="Q64" s="1">
        <f t="shared" si="1"/>
        <v>-324.677</v>
      </c>
      <c r="R64" s="1">
        <v>-7.7725</v>
      </c>
      <c r="S64" s="1">
        <v>-10.504</v>
      </c>
      <c r="T64" s="1">
        <v>-4.909</v>
      </c>
      <c r="U64" s="1">
        <v>-5.47647619047619</v>
      </c>
      <c r="V64" s="1">
        <v>-5.2955</v>
      </c>
      <c r="W64" s="1">
        <v>-6.10538095238095</v>
      </c>
      <c r="X64" s="1">
        <v>-5.863</v>
      </c>
      <c r="Y64" s="1">
        <v>0.379343789274085</v>
      </c>
      <c r="Z64" s="1">
        <v>0.362064472664407</v>
      </c>
      <c r="AA64" s="1">
        <v>0.596779661016949</v>
      </c>
      <c r="AB64" s="1">
        <v>0.59</v>
      </c>
      <c r="AC64" s="1">
        <v>0.212275796126705</v>
      </c>
      <c r="AD64" s="1">
        <v>0.205380267355802</v>
      </c>
      <c r="AE64" s="1">
        <v>0.748083280118853</v>
      </c>
      <c r="AF64" s="1">
        <v>0.802632752473993</v>
      </c>
      <c r="AG64" s="1">
        <v>0.80107843578891</v>
      </c>
      <c r="AH64" s="1">
        <v>0.810894757137673</v>
      </c>
      <c r="AI64" s="1">
        <v>0.812901253791787</v>
      </c>
      <c r="AJ64" s="1" t="s">
        <v>49</v>
      </c>
      <c r="AK64" s="1">
        <v>0.80802993599641</v>
      </c>
      <c r="AL64" s="1">
        <v>0.814792081002127</v>
      </c>
      <c r="AM64" s="1">
        <v>0.312973443918809</v>
      </c>
      <c r="AN64" s="1">
        <v>0.643541412970898</v>
      </c>
      <c r="AO64" s="1">
        <v>62</v>
      </c>
    </row>
    <row r="65" s="1" customFormat="1" spans="1:41">
      <c r="A65" s="1" t="s">
        <v>270</v>
      </c>
      <c r="B65" s="1" t="s">
        <v>271</v>
      </c>
      <c r="C65" s="1">
        <v>895.204551</v>
      </c>
      <c r="D65" s="1" t="s">
        <v>272</v>
      </c>
      <c r="E65" s="1" t="s">
        <v>273</v>
      </c>
      <c r="F65" s="1" t="s">
        <v>44</v>
      </c>
      <c r="G65" s="1" t="s">
        <v>45</v>
      </c>
      <c r="H65" s="1">
        <v>8</v>
      </c>
      <c r="I65" s="1">
        <v>64</v>
      </c>
      <c r="J65" s="1">
        <v>60</v>
      </c>
      <c r="K65" s="1">
        <v>93.75</v>
      </c>
      <c r="L65" s="1">
        <v>42</v>
      </c>
      <c r="M65" s="1">
        <v>65.625</v>
      </c>
      <c r="N65" s="1">
        <v>42</v>
      </c>
      <c r="O65" s="1">
        <v>65.625</v>
      </c>
      <c r="P65" s="1">
        <v>-6.08697619047619</v>
      </c>
      <c r="Q65" s="1">
        <f t="shared" si="1"/>
        <v>-255.653</v>
      </c>
      <c r="R65" s="1">
        <v>-5.96</v>
      </c>
      <c r="S65" s="1">
        <v>-8.382</v>
      </c>
      <c r="T65" s="1">
        <v>-3.706</v>
      </c>
      <c r="U65" s="1">
        <v>-2.13228571428571</v>
      </c>
      <c r="V65" s="1">
        <v>-2.861</v>
      </c>
      <c r="W65" s="1">
        <v>-3.2917619047619</v>
      </c>
      <c r="X65" s="1">
        <v>-3.3555</v>
      </c>
      <c r="Y65" s="1">
        <v>0.312495457833862</v>
      </c>
      <c r="Z65" s="1">
        <v>0.248814289353611</v>
      </c>
      <c r="AA65" s="1">
        <v>0.601333333333333</v>
      </c>
      <c r="AB65" s="1">
        <v>0.585</v>
      </c>
      <c r="AC65" s="1">
        <v>0.209464234595131</v>
      </c>
      <c r="AD65" s="1">
        <v>0.186257949636533</v>
      </c>
      <c r="AE65" s="1">
        <v>0.775425234560637</v>
      </c>
      <c r="AF65" s="1">
        <v>0.804103021350668</v>
      </c>
      <c r="AG65" s="1">
        <v>0.787723137329995</v>
      </c>
      <c r="AH65" s="1">
        <v>0.799216798650937</v>
      </c>
      <c r="AI65" s="1">
        <v>0.821018370432988</v>
      </c>
      <c r="AJ65" s="1" t="s">
        <v>49</v>
      </c>
      <c r="AK65" s="1">
        <v>0.804124502016879</v>
      </c>
      <c r="AL65" s="1">
        <v>0.81142229715324</v>
      </c>
      <c r="AM65" s="1">
        <v>0.328994033886589</v>
      </c>
      <c r="AN65" s="1">
        <v>0.680243056218894</v>
      </c>
      <c r="AO65" s="1">
        <v>63</v>
      </c>
    </row>
    <row r="66" s="1" customFormat="1" spans="1:41">
      <c r="A66" s="1" t="s">
        <v>270</v>
      </c>
      <c r="B66" s="1" t="s">
        <v>274</v>
      </c>
      <c r="C66" s="1">
        <v>630.903007</v>
      </c>
      <c r="D66" s="1" t="s">
        <v>275</v>
      </c>
      <c r="E66" s="1" t="s">
        <v>276</v>
      </c>
      <c r="F66" s="1" t="s">
        <v>44</v>
      </c>
      <c r="G66" s="1" t="s">
        <v>45</v>
      </c>
      <c r="H66" s="1">
        <v>8</v>
      </c>
      <c r="I66" s="1">
        <v>64</v>
      </c>
      <c r="J66" s="1">
        <v>64</v>
      </c>
      <c r="K66" s="1">
        <v>100</v>
      </c>
      <c r="L66" s="1">
        <v>49</v>
      </c>
      <c r="M66" s="1">
        <v>76.5625</v>
      </c>
      <c r="N66" s="1">
        <v>49</v>
      </c>
      <c r="O66" s="1">
        <v>76.5625</v>
      </c>
      <c r="P66" s="1">
        <v>-6.49244897959184</v>
      </c>
      <c r="Q66" s="1">
        <f t="shared" si="1"/>
        <v>-318.13</v>
      </c>
      <c r="R66" s="1">
        <v>-6.505</v>
      </c>
      <c r="S66" s="1">
        <v>-9.249</v>
      </c>
      <c r="T66" s="1">
        <v>-5.055</v>
      </c>
      <c r="U66" s="1">
        <v>-4.70704081632653</v>
      </c>
      <c r="V66" s="1">
        <v>-4.826</v>
      </c>
      <c r="W66" s="1">
        <v>-4.99979591836735</v>
      </c>
      <c r="X66" s="1">
        <v>-5.167</v>
      </c>
      <c r="Y66" s="1">
        <v>0.392783009978432</v>
      </c>
      <c r="Z66" s="1">
        <v>0.405499296432111</v>
      </c>
      <c r="AA66" s="1">
        <v>0.663125</v>
      </c>
      <c r="AB66" s="1">
        <v>0.66</v>
      </c>
      <c r="AC66" s="1">
        <v>0.196273380067561</v>
      </c>
      <c r="AD66" s="1">
        <v>0.181697964884103</v>
      </c>
      <c r="AE66" s="1">
        <v>0.773619617215515</v>
      </c>
      <c r="AF66" s="1">
        <v>0.812126934498535</v>
      </c>
      <c r="AG66" s="1" t="s">
        <v>49</v>
      </c>
      <c r="AH66" s="1">
        <v>0.807866068309184</v>
      </c>
      <c r="AI66" s="1">
        <v>0.80630587696719</v>
      </c>
      <c r="AJ66" s="1" t="s">
        <v>49</v>
      </c>
      <c r="AK66" s="1">
        <v>0.801924669091308</v>
      </c>
      <c r="AL66" s="1">
        <v>0.805113460060484</v>
      </c>
      <c r="AM66" s="1">
        <v>0.39272057432777</v>
      </c>
      <c r="AN66" s="1">
        <v>0.681662348257703</v>
      </c>
      <c r="AO66" s="1">
        <v>64</v>
      </c>
    </row>
    <row r="67" s="1" customFormat="1" spans="1:41">
      <c r="A67" s="1" t="s">
        <v>277</v>
      </c>
      <c r="B67" s="1" t="s">
        <v>278</v>
      </c>
      <c r="C67" s="1">
        <v>357.907794</v>
      </c>
      <c r="D67" s="1" t="s">
        <v>279</v>
      </c>
      <c r="E67" s="1" t="s">
        <v>280</v>
      </c>
      <c r="F67" s="1" t="s">
        <v>44</v>
      </c>
      <c r="G67" s="1" t="s">
        <v>45</v>
      </c>
      <c r="H67" s="1">
        <v>8</v>
      </c>
      <c r="I67" s="1">
        <v>64</v>
      </c>
      <c r="J67" s="1">
        <v>63</v>
      </c>
      <c r="K67" s="1">
        <v>98.4375</v>
      </c>
      <c r="L67" s="1">
        <v>47</v>
      </c>
      <c r="M67" s="1">
        <v>73.4375</v>
      </c>
      <c r="N67" s="1">
        <v>47</v>
      </c>
      <c r="O67" s="1">
        <v>73.4375</v>
      </c>
      <c r="P67" s="1">
        <v>-5.39131914893617</v>
      </c>
      <c r="Q67" s="1">
        <f t="shared" ref="Q67:Q98" si="2">PRODUCT(N67,P67)</f>
        <v>-253.392</v>
      </c>
      <c r="R67" s="1">
        <v>-5.39</v>
      </c>
      <c r="S67" s="1">
        <v>-5.996</v>
      </c>
      <c r="T67" s="1">
        <v>-4.609</v>
      </c>
      <c r="U67" s="1">
        <v>-3.75306382978723</v>
      </c>
      <c r="V67" s="1">
        <v>-3.664</v>
      </c>
      <c r="W67" s="1">
        <v>-4.22417021276596</v>
      </c>
      <c r="X67" s="1">
        <v>-4.177</v>
      </c>
      <c r="Y67" s="1">
        <v>0.461180407449023</v>
      </c>
      <c r="Z67" s="1">
        <v>0.485975530954351</v>
      </c>
      <c r="AA67" s="1">
        <v>0.771904761904762</v>
      </c>
      <c r="AB67" s="1">
        <v>0.81</v>
      </c>
      <c r="AC67" s="1">
        <v>0.255637269311901</v>
      </c>
      <c r="AD67" s="1">
        <v>0.273592003348215</v>
      </c>
      <c r="AE67" s="1">
        <v>0.788145970405819</v>
      </c>
      <c r="AF67" s="1">
        <v>0.820921747460623</v>
      </c>
      <c r="AG67" s="1" t="s">
        <v>49</v>
      </c>
      <c r="AH67" s="1">
        <v>0.808874490660023</v>
      </c>
      <c r="AI67" s="1">
        <v>0.820772674185666</v>
      </c>
      <c r="AJ67" s="1" t="s">
        <v>49</v>
      </c>
      <c r="AK67" s="1">
        <v>0.802890394194241</v>
      </c>
      <c r="AL67" s="1">
        <v>0.808211915808222</v>
      </c>
      <c r="AM67" s="1">
        <v>0.519492162474726</v>
      </c>
      <c r="AN67" s="1">
        <v>0.704090376604105</v>
      </c>
      <c r="AO67" s="1">
        <v>66</v>
      </c>
    </row>
    <row r="68" s="1" customFormat="1" spans="1:41">
      <c r="A68" s="1" t="s">
        <v>281</v>
      </c>
      <c r="B68" s="1" t="s">
        <v>282</v>
      </c>
      <c r="C68" s="1">
        <v>913.459613</v>
      </c>
      <c r="D68" s="1" t="s">
        <v>283</v>
      </c>
      <c r="E68" s="1" t="s">
        <v>284</v>
      </c>
      <c r="F68" s="1" t="s">
        <v>44</v>
      </c>
      <c r="G68" s="1" t="s">
        <v>45</v>
      </c>
      <c r="H68" s="1">
        <v>8</v>
      </c>
      <c r="I68" s="1">
        <v>64</v>
      </c>
      <c r="J68" s="1">
        <v>64</v>
      </c>
      <c r="K68" s="1">
        <v>100</v>
      </c>
      <c r="L68" s="1">
        <v>32</v>
      </c>
      <c r="M68" s="1">
        <v>50</v>
      </c>
      <c r="N68" s="1">
        <v>32</v>
      </c>
      <c r="O68" s="1">
        <v>50</v>
      </c>
      <c r="P68" s="1">
        <v>-7.01534375</v>
      </c>
      <c r="Q68" s="1">
        <f t="shared" si="2"/>
        <v>-224.491</v>
      </c>
      <c r="R68" s="1">
        <v>-6.9605</v>
      </c>
      <c r="S68" s="1">
        <v>-9.147</v>
      </c>
      <c r="T68" s="1">
        <v>-4.781</v>
      </c>
      <c r="U68" s="1">
        <v>-4.05625</v>
      </c>
      <c r="V68" s="1">
        <v>-3.867</v>
      </c>
      <c r="W68" s="1">
        <v>-4.55128125</v>
      </c>
      <c r="X68" s="1">
        <v>-4.328</v>
      </c>
      <c r="Y68" s="1">
        <v>0.212455114795378</v>
      </c>
      <c r="Z68" s="1">
        <v>0.18560424093737</v>
      </c>
      <c r="AA68" s="1">
        <v>0.60796875</v>
      </c>
      <c r="AB68" s="1">
        <v>0.605</v>
      </c>
      <c r="AC68" s="1">
        <v>0.244229121578633</v>
      </c>
      <c r="AD68" s="1">
        <v>0.227546596999651</v>
      </c>
      <c r="AE68" s="1">
        <v>0.775409374931478</v>
      </c>
      <c r="AF68" s="1">
        <v>0.806133554337887</v>
      </c>
      <c r="AG68" s="1" t="s">
        <v>49</v>
      </c>
      <c r="AH68" s="1">
        <v>0.810482457149227</v>
      </c>
      <c r="AI68" s="1">
        <v>0.818007629837279</v>
      </c>
      <c r="AJ68" s="1" t="s">
        <v>49</v>
      </c>
      <c r="AK68" s="1">
        <v>0.819835441599572</v>
      </c>
      <c r="AL68" s="1">
        <v>0.808126455520373</v>
      </c>
      <c r="AM68" s="1">
        <v>0.309206873023264</v>
      </c>
      <c r="AN68" s="1">
        <v>0.688357337208732</v>
      </c>
      <c r="AO68" s="1">
        <v>67</v>
      </c>
    </row>
    <row r="69" s="1" customFormat="1" spans="1:41">
      <c r="A69" s="1" t="s">
        <v>285</v>
      </c>
      <c r="B69" s="1" t="s">
        <v>286</v>
      </c>
      <c r="C69" s="1">
        <v>1190.197611</v>
      </c>
      <c r="D69" s="1" t="s">
        <v>287</v>
      </c>
      <c r="E69" s="1" t="s">
        <v>288</v>
      </c>
      <c r="F69" s="1" t="s">
        <v>44</v>
      </c>
      <c r="G69" s="1" t="s">
        <v>45</v>
      </c>
      <c r="H69" s="1">
        <v>8</v>
      </c>
      <c r="I69" s="1">
        <v>64</v>
      </c>
      <c r="J69" s="1">
        <v>63</v>
      </c>
      <c r="K69" s="1">
        <v>98.4375</v>
      </c>
      <c r="L69" s="1">
        <v>34</v>
      </c>
      <c r="M69" s="1">
        <v>53.125</v>
      </c>
      <c r="N69" s="1">
        <v>34</v>
      </c>
      <c r="O69" s="1">
        <v>53.125</v>
      </c>
      <c r="P69" s="1">
        <v>-9.49591176470588</v>
      </c>
      <c r="Q69" s="1">
        <f t="shared" si="2"/>
        <v>-322.861</v>
      </c>
      <c r="R69" s="1">
        <v>-9.278</v>
      </c>
      <c r="S69" s="1">
        <v>-12.473</v>
      </c>
      <c r="T69" s="1">
        <v>-7.63</v>
      </c>
      <c r="U69" s="1">
        <v>-7.44835294117647</v>
      </c>
      <c r="V69" s="1">
        <v>-7.2225</v>
      </c>
      <c r="W69" s="1">
        <v>-7.68658823529412</v>
      </c>
      <c r="X69" s="1">
        <v>-7.508</v>
      </c>
      <c r="Y69" s="1">
        <v>0.263118156913208</v>
      </c>
      <c r="Z69" s="1">
        <v>0.22511452592898</v>
      </c>
      <c r="AA69" s="1">
        <v>0.565873015873016</v>
      </c>
      <c r="AB69" s="1">
        <v>0.57</v>
      </c>
      <c r="AC69" s="1">
        <v>0.186681495664631</v>
      </c>
      <c r="AD69" s="1">
        <v>0.182759823236019</v>
      </c>
      <c r="AE69" s="1">
        <v>0.740514212557476</v>
      </c>
      <c r="AF69" s="1">
        <v>0.810146248006338</v>
      </c>
      <c r="AG69" s="1">
        <v>0.754447102582722</v>
      </c>
      <c r="AH69" s="1">
        <v>0.776334570555575</v>
      </c>
      <c r="AI69" s="1">
        <v>0.81412941932049</v>
      </c>
      <c r="AJ69" s="1">
        <v>0.831646889155433</v>
      </c>
      <c r="AK69" s="1">
        <v>0.804086229996316</v>
      </c>
      <c r="AL69" s="1">
        <v>0.812596809486112</v>
      </c>
      <c r="AM69" s="1">
        <v>0.276820546307989</v>
      </c>
      <c r="AN69" s="1">
        <v>0.607264604902375</v>
      </c>
      <c r="AO69" s="1">
        <v>68</v>
      </c>
    </row>
    <row r="70" s="1" customFormat="1" spans="1:41">
      <c r="A70" s="1" t="s">
        <v>289</v>
      </c>
      <c r="B70" s="1" t="s">
        <v>290</v>
      </c>
      <c r="C70" s="1">
        <v>344.786487</v>
      </c>
      <c r="D70" s="1" t="s">
        <v>291</v>
      </c>
      <c r="E70" s="1" t="s">
        <v>292</v>
      </c>
      <c r="F70" s="1" t="s">
        <v>44</v>
      </c>
      <c r="G70" s="1" t="s">
        <v>45</v>
      </c>
      <c r="H70" s="1">
        <v>8</v>
      </c>
      <c r="I70" s="1">
        <v>64</v>
      </c>
      <c r="J70" s="1">
        <v>64</v>
      </c>
      <c r="K70" s="1">
        <v>100</v>
      </c>
      <c r="L70" s="1">
        <v>49</v>
      </c>
      <c r="M70" s="1">
        <v>76.5625</v>
      </c>
      <c r="N70" s="1">
        <v>49</v>
      </c>
      <c r="O70" s="1">
        <v>76.5625</v>
      </c>
      <c r="P70" s="1">
        <v>-5.43391836734694</v>
      </c>
      <c r="Q70" s="1">
        <f t="shared" si="2"/>
        <v>-266.262</v>
      </c>
      <c r="R70" s="1">
        <v>-5.288</v>
      </c>
      <c r="S70" s="1">
        <v>-8.742</v>
      </c>
      <c r="T70" s="1">
        <v>-3.919</v>
      </c>
      <c r="U70" s="1">
        <v>-3.011</v>
      </c>
      <c r="V70" s="1">
        <v>-2.968</v>
      </c>
      <c r="W70" s="1">
        <v>-3.45279591836735</v>
      </c>
      <c r="X70" s="1">
        <v>-3.276</v>
      </c>
      <c r="Y70" s="1">
        <v>0.476117720661743</v>
      </c>
      <c r="Z70" s="1">
        <v>0.513755226959601</v>
      </c>
      <c r="AA70" s="1">
        <v>0.6740625</v>
      </c>
      <c r="AB70" s="1">
        <v>0.66</v>
      </c>
      <c r="AC70" s="1">
        <v>0.235633232729756</v>
      </c>
      <c r="AD70" s="1">
        <v>0.24190614713048</v>
      </c>
      <c r="AE70" s="1">
        <v>0.774688289395617</v>
      </c>
      <c r="AF70" s="1">
        <v>0.807622941136089</v>
      </c>
      <c r="AG70" s="1">
        <v>0.818348018373498</v>
      </c>
      <c r="AH70" s="1">
        <v>0.803590527214897</v>
      </c>
      <c r="AI70" s="1">
        <v>0.817594954156301</v>
      </c>
      <c r="AJ70" s="1">
        <v>0.785059042054641</v>
      </c>
      <c r="AK70" s="1">
        <v>0.807786570507082</v>
      </c>
      <c r="AL70" s="1">
        <v>0.808399442403254</v>
      </c>
      <c r="AM70" s="1">
        <v>0.505653276823127</v>
      </c>
      <c r="AN70" s="1">
        <v>0.682354596746455</v>
      </c>
      <c r="AO70" s="1">
        <v>69</v>
      </c>
    </row>
    <row r="71" s="1" customFormat="1" spans="1:41">
      <c r="A71" s="1" t="s">
        <v>293</v>
      </c>
      <c r="B71" s="1" t="s">
        <v>294</v>
      </c>
      <c r="C71" s="1">
        <v>1216.998537</v>
      </c>
      <c r="D71" s="1" t="s">
        <v>295</v>
      </c>
      <c r="E71" s="1" t="s">
        <v>296</v>
      </c>
      <c r="F71" s="1" t="s">
        <v>44</v>
      </c>
      <c r="G71" s="1" t="s">
        <v>45</v>
      </c>
      <c r="H71" s="1">
        <v>8</v>
      </c>
      <c r="I71" s="1">
        <v>64</v>
      </c>
      <c r="J71" s="1">
        <v>63</v>
      </c>
      <c r="K71" s="1">
        <v>98.4375</v>
      </c>
      <c r="L71" s="1">
        <v>22</v>
      </c>
      <c r="M71" s="1">
        <v>34.375</v>
      </c>
      <c r="N71" s="1">
        <v>22</v>
      </c>
      <c r="O71" s="1">
        <v>34.375</v>
      </c>
      <c r="P71" s="1">
        <v>-13.3823181818182</v>
      </c>
      <c r="Q71" s="1">
        <f t="shared" si="2"/>
        <v>-294.411</v>
      </c>
      <c r="R71" s="1">
        <v>-13.502</v>
      </c>
      <c r="S71" s="1">
        <v>-18.188</v>
      </c>
      <c r="T71" s="1">
        <v>-8.722</v>
      </c>
      <c r="U71" s="1">
        <v>-2.799</v>
      </c>
      <c r="V71" s="1">
        <v>-11.568</v>
      </c>
      <c r="W71" s="1">
        <v>-9.71454545454546</v>
      </c>
      <c r="X71" s="1">
        <v>-11.719</v>
      </c>
      <c r="Y71" s="1">
        <v>0.144452959048412</v>
      </c>
      <c r="Z71" s="1">
        <v>0.118306046623251</v>
      </c>
      <c r="AA71" s="1">
        <v>0.532857142857143</v>
      </c>
      <c r="AB71" s="1">
        <v>0.52</v>
      </c>
      <c r="AC71" s="1">
        <v>0.24851645310779</v>
      </c>
      <c r="AD71" s="1">
        <v>0.257191594404103</v>
      </c>
      <c r="AE71" s="1">
        <v>0.715056752322245</v>
      </c>
      <c r="AF71" s="1">
        <v>0.775829388666425</v>
      </c>
      <c r="AG71" s="1">
        <v>0.792559735159155</v>
      </c>
      <c r="AH71" s="1">
        <v>0.780724794010711</v>
      </c>
      <c r="AI71" s="1">
        <v>0.817999150739345</v>
      </c>
      <c r="AJ71" s="1" t="s">
        <v>49</v>
      </c>
      <c r="AK71" s="1">
        <v>0.801735745631233</v>
      </c>
      <c r="AL71" s="1">
        <v>0.818202368291835</v>
      </c>
      <c r="AM71" s="1">
        <v>0.263817467508097</v>
      </c>
      <c r="AN71" s="1">
        <v>0.580088670574063</v>
      </c>
      <c r="AO71" s="1">
        <v>70</v>
      </c>
    </row>
    <row r="72" s="1" customFormat="1" spans="1:41">
      <c r="A72" s="1" t="s">
        <v>297</v>
      </c>
      <c r="B72" s="1" t="s">
        <v>298</v>
      </c>
      <c r="C72" s="1">
        <v>373.632673</v>
      </c>
      <c r="D72" s="1" t="s">
        <v>299</v>
      </c>
      <c r="E72" s="1" t="s">
        <v>300</v>
      </c>
      <c r="F72" s="1" t="s">
        <v>44</v>
      </c>
      <c r="G72" s="1" t="s">
        <v>45</v>
      </c>
      <c r="H72" s="1">
        <v>8</v>
      </c>
      <c r="I72" s="1">
        <v>64</v>
      </c>
      <c r="J72" s="1">
        <v>64</v>
      </c>
      <c r="K72" s="1">
        <v>100</v>
      </c>
      <c r="L72" s="1">
        <v>51</v>
      </c>
      <c r="M72" s="1">
        <v>79.6875</v>
      </c>
      <c r="N72" s="1">
        <v>51</v>
      </c>
      <c r="O72" s="1">
        <v>79.6875</v>
      </c>
      <c r="P72" s="1">
        <v>-4.37552941176471</v>
      </c>
      <c r="Q72" s="1">
        <f t="shared" si="2"/>
        <v>-223.152</v>
      </c>
      <c r="R72" s="1">
        <v>-4.181</v>
      </c>
      <c r="S72" s="1">
        <v>-6.621</v>
      </c>
      <c r="T72" s="1">
        <v>-3.636</v>
      </c>
      <c r="U72" s="1">
        <v>-1.62309803921569</v>
      </c>
      <c r="V72" s="1">
        <v>-1.511</v>
      </c>
      <c r="W72" s="1">
        <v>-2.34733333333333</v>
      </c>
      <c r="X72" s="1">
        <v>-2.232</v>
      </c>
      <c r="Y72" s="1">
        <v>0.4709094642925</v>
      </c>
      <c r="Z72" s="1">
        <v>0.504211651702984</v>
      </c>
      <c r="AA72" s="1">
        <v>0.696666666666666</v>
      </c>
      <c r="AB72" s="1">
        <v>0.71</v>
      </c>
      <c r="AC72" s="1">
        <v>0.225385401257312</v>
      </c>
      <c r="AD72" s="1">
        <v>0.24190614713048</v>
      </c>
      <c r="AE72" s="1">
        <v>0.781281163872913</v>
      </c>
      <c r="AF72" s="1">
        <v>0.808444147960454</v>
      </c>
      <c r="AG72" s="1">
        <v>0.775127723511223</v>
      </c>
      <c r="AH72" s="1">
        <v>0.813363610767449</v>
      </c>
      <c r="AI72" s="1">
        <v>0.809174377505679</v>
      </c>
      <c r="AJ72" s="1" t="s">
        <v>49</v>
      </c>
      <c r="AK72" s="1">
        <v>0.805411516752382</v>
      </c>
      <c r="AL72" s="1">
        <v>0.817610229752156</v>
      </c>
      <c r="AM72" s="1">
        <v>0.506397683224737</v>
      </c>
      <c r="AN72" s="1">
        <v>0.697785807553657</v>
      </c>
      <c r="AO72" s="1">
        <v>71</v>
      </c>
    </row>
    <row r="73" s="1" customFormat="1" spans="1:41">
      <c r="A73" s="1" t="s">
        <v>301</v>
      </c>
      <c r="B73" s="1" t="s">
        <v>302</v>
      </c>
      <c r="C73" s="1">
        <v>1585.870229</v>
      </c>
      <c r="D73" s="1" t="s">
        <v>303</v>
      </c>
      <c r="E73" s="1" t="s">
        <v>304</v>
      </c>
      <c r="F73" s="1" t="s">
        <v>44</v>
      </c>
      <c r="G73" s="1" t="s">
        <v>45</v>
      </c>
      <c r="H73" s="1">
        <v>8</v>
      </c>
      <c r="I73" s="1">
        <v>64</v>
      </c>
      <c r="J73" s="1">
        <v>61</v>
      </c>
      <c r="K73" s="1">
        <v>95.3125</v>
      </c>
      <c r="L73" s="1">
        <v>22</v>
      </c>
      <c r="M73" s="1">
        <v>34.375</v>
      </c>
      <c r="N73" s="1">
        <v>22</v>
      </c>
      <c r="O73" s="1">
        <v>34.375</v>
      </c>
      <c r="P73" s="1">
        <v>-12.2175</v>
      </c>
      <c r="Q73" s="1">
        <f t="shared" si="2"/>
        <v>-268.785</v>
      </c>
      <c r="R73" s="1">
        <v>-12.508</v>
      </c>
      <c r="S73" s="1">
        <v>-15.96</v>
      </c>
      <c r="T73" s="1">
        <v>-9.203</v>
      </c>
      <c r="U73" s="1">
        <v>-11.4720454545455</v>
      </c>
      <c r="V73" s="1">
        <v>-11.4155</v>
      </c>
      <c r="W73" s="1">
        <v>-11.7208636363636</v>
      </c>
      <c r="X73" s="1">
        <v>-12.052</v>
      </c>
      <c r="Y73" s="1">
        <v>0.169766647120514</v>
      </c>
      <c r="Z73" s="1">
        <v>0.125769282747797</v>
      </c>
      <c r="AA73" s="1">
        <v>0.468196721311475</v>
      </c>
      <c r="AB73" s="1">
        <v>0.47</v>
      </c>
      <c r="AC73" s="1">
        <v>0.226509341713386</v>
      </c>
      <c r="AD73" s="1">
        <v>0.22650865197571</v>
      </c>
      <c r="AE73" s="1">
        <v>0.721269354705591</v>
      </c>
      <c r="AF73" s="1">
        <v>0.79151797922108</v>
      </c>
      <c r="AG73" s="1">
        <v>0.825179154571809</v>
      </c>
      <c r="AH73" s="1">
        <v>0.789045603079321</v>
      </c>
      <c r="AI73" s="1">
        <v>0.823242585328194</v>
      </c>
      <c r="AJ73" s="1">
        <v>0.761730058348725</v>
      </c>
      <c r="AK73" s="1">
        <v>0.795193485258961</v>
      </c>
      <c r="AL73" s="1">
        <v>0.81436254380826</v>
      </c>
      <c r="AM73" s="1">
        <v>0.265511845347737</v>
      </c>
      <c r="AN73" s="1">
        <v>0.595843027418091</v>
      </c>
      <c r="AO73" s="1">
        <v>72</v>
      </c>
    </row>
    <row r="74" s="1" customFormat="1" spans="1:41">
      <c r="A74" s="1" t="s">
        <v>305</v>
      </c>
      <c r="B74" s="1" t="s">
        <v>306</v>
      </c>
      <c r="C74" s="1">
        <v>524.679931</v>
      </c>
      <c r="D74" s="1" t="s">
        <v>307</v>
      </c>
      <c r="E74" s="1" t="s">
        <v>308</v>
      </c>
      <c r="F74" s="1" t="s">
        <v>44</v>
      </c>
      <c r="G74" s="1" t="s">
        <v>45</v>
      </c>
      <c r="H74" s="1">
        <v>8</v>
      </c>
      <c r="I74" s="1">
        <v>64</v>
      </c>
      <c r="J74" s="1">
        <v>63</v>
      </c>
      <c r="K74" s="1">
        <v>98.4375</v>
      </c>
      <c r="L74" s="1">
        <v>26</v>
      </c>
      <c r="M74" s="1">
        <v>40.625</v>
      </c>
      <c r="N74" s="1">
        <v>26</v>
      </c>
      <c r="O74" s="1">
        <v>40.625</v>
      </c>
      <c r="P74" s="1">
        <v>-8.95446153846154</v>
      </c>
      <c r="Q74" s="1">
        <f t="shared" si="2"/>
        <v>-232.816</v>
      </c>
      <c r="R74" s="1">
        <v>-8.7715</v>
      </c>
      <c r="S74" s="1">
        <v>-11.716</v>
      </c>
      <c r="T74" s="1">
        <v>-7.117</v>
      </c>
      <c r="U74" s="1">
        <v>-7.63388461538462</v>
      </c>
      <c r="V74" s="1">
        <v>-7.342</v>
      </c>
      <c r="W74" s="1">
        <v>-7.82434615384615</v>
      </c>
      <c r="X74" s="1">
        <v>-7.3525</v>
      </c>
      <c r="Y74" s="1">
        <v>0.364207658118097</v>
      </c>
      <c r="Z74" s="1">
        <v>0.336656211532685</v>
      </c>
      <c r="AA74" s="1">
        <v>0.637619047619048</v>
      </c>
      <c r="AB74" s="1">
        <v>0.63</v>
      </c>
      <c r="AC74" s="1">
        <v>0.254840643323324</v>
      </c>
      <c r="AD74" s="1">
        <v>0.253457860652751</v>
      </c>
      <c r="AE74" s="1">
        <v>0.747135024868197</v>
      </c>
      <c r="AF74" s="1">
        <v>0.800460654042084</v>
      </c>
      <c r="AG74" s="1">
        <v>0.783413824518469</v>
      </c>
      <c r="AH74" s="1">
        <v>0.78614583149311</v>
      </c>
      <c r="AI74" s="1">
        <v>0.823990303548396</v>
      </c>
      <c r="AJ74" s="1">
        <v>0.822219006919664</v>
      </c>
      <c r="AK74" s="1">
        <v>0.810067521732599</v>
      </c>
      <c r="AL74" s="1">
        <v>0.814420954384285</v>
      </c>
      <c r="AM74" s="1">
        <v>0.31528958853367</v>
      </c>
      <c r="AN74" s="1">
        <v>0.625503622772186</v>
      </c>
      <c r="AO74" s="1">
        <v>73</v>
      </c>
    </row>
    <row r="75" s="1" customFormat="1" spans="1:41">
      <c r="A75" s="1" t="s">
        <v>309</v>
      </c>
      <c r="B75" s="1" t="s">
        <v>310</v>
      </c>
      <c r="C75" s="1">
        <v>767.21669</v>
      </c>
      <c r="D75" s="1" t="s">
        <v>311</v>
      </c>
      <c r="E75" s="1" t="s">
        <v>312</v>
      </c>
      <c r="F75" s="1" t="s">
        <v>44</v>
      </c>
      <c r="G75" s="1" t="s">
        <v>45</v>
      </c>
      <c r="H75" s="1">
        <v>8</v>
      </c>
      <c r="I75" s="1">
        <v>64</v>
      </c>
      <c r="J75" s="1">
        <v>63</v>
      </c>
      <c r="K75" s="1">
        <v>98.4375</v>
      </c>
      <c r="L75" s="1">
        <v>48</v>
      </c>
      <c r="M75" s="1">
        <v>75</v>
      </c>
      <c r="N75" s="1">
        <v>48</v>
      </c>
      <c r="O75" s="1">
        <v>75</v>
      </c>
      <c r="P75" s="1">
        <v>-8.33</v>
      </c>
      <c r="Q75" s="1">
        <f t="shared" si="2"/>
        <v>-399.84</v>
      </c>
      <c r="R75" s="1">
        <v>-8.329</v>
      </c>
      <c r="S75" s="1">
        <v>-13.163</v>
      </c>
      <c r="T75" s="1">
        <v>-4.738</v>
      </c>
      <c r="U75" s="1">
        <v>10.9690625</v>
      </c>
      <c r="V75" s="1">
        <v>-4.392</v>
      </c>
      <c r="W75" s="1">
        <v>-5.23525</v>
      </c>
      <c r="X75" s="1">
        <v>-6.1</v>
      </c>
      <c r="Y75" s="1">
        <v>0.406159099175571</v>
      </c>
      <c r="Z75" s="1">
        <v>0.385863590755198</v>
      </c>
      <c r="AA75" s="1">
        <v>0.683650793650794</v>
      </c>
      <c r="AB75" s="1">
        <v>0.68</v>
      </c>
      <c r="AC75" s="1">
        <v>0.287630235251728</v>
      </c>
      <c r="AD75" s="1">
        <v>0.29294303369812</v>
      </c>
      <c r="AE75" s="1">
        <v>0.743562159063861</v>
      </c>
      <c r="AF75" s="1">
        <v>0.803535710999978</v>
      </c>
      <c r="AG75" s="1">
        <v>0.77720001658172</v>
      </c>
      <c r="AH75" s="1">
        <v>0.797484742834077</v>
      </c>
      <c r="AI75" s="1">
        <v>0.821451670516765</v>
      </c>
      <c r="AJ75" s="1">
        <v>0.80963608712259</v>
      </c>
      <c r="AK75" s="1">
        <v>0.80617917234001</v>
      </c>
      <c r="AL75" s="1">
        <v>0.814513844006155</v>
      </c>
      <c r="AM75" s="1">
        <v>0.318740057360126</v>
      </c>
      <c r="AN75" s="1">
        <v>0.616531493088245</v>
      </c>
      <c r="AO75" s="1">
        <v>74</v>
      </c>
    </row>
    <row r="76" s="1" customFormat="1" spans="1:41">
      <c r="A76" s="1" t="s">
        <v>313</v>
      </c>
      <c r="B76" s="1" t="s">
        <v>314</v>
      </c>
      <c r="C76" s="1">
        <v>1292.284575</v>
      </c>
      <c r="D76" s="1" t="s">
        <v>315</v>
      </c>
      <c r="E76" s="1" t="s">
        <v>316</v>
      </c>
      <c r="F76" s="1" t="s">
        <v>44</v>
      </c>
      <c r="G76" s="1" t="s">
        <v>45</v>
      </c>
      <c r="H76" s="1">
        <v>8</v>
      </c>
      <c r="I76" s="1">
        <v>64</v>
      </c>
      <c r="J76" s="1">
        <v>64</v>
      </c>
      <c r="K76" s="1">
        <v>100</v>
      </c>
      <c r="L76" s="1">
        <v>48</v>
      </c>
      <c r="M76" s="1">
        <v>75</v>
      </c>
      <c r="N76" s="1">
        <v>48</v>
      </c>
      <c r="O76" s="1">
        <v>75</v>
      </c>
      <c r="P76" s="1">
        <v>-10.4000416666667</v>
      </c>
      <c r="Q76" s="1">
        <f t="shared" si="2"/>
        <v>-499.202000000002</v>
      </c>
      <c r="R76" s="1">
        <v>-10.5435</v>
      </c>
      <c r="S76" s="1">
        <v>-13.199</v>
      </c>
      <c r="T76" s="1">
        <v>-6.17</v>
      </c>
      <c r="U76" s="1">
        <v>-6.3735</v>
      </c>
      <c r="V76" s="1">
        <v>-9.1125</v>
      </c>
      <c r="W76" s="1">
        <v>-8.6088125</v>
      </c>
      <c r="X76" s="1">
        <v>-9.4365</v>
      </c>
      <c r="Y76" s="1">
        <v>0.390765604586051</v>
      </c>
      <c r="Z76" s="1">
        <v>0.405656794526691</v>
      </c>
      <c r="AA76" s="1">
        <v>0.56453125</v>
      </c>
      <c r="AB76" s="1">
        <v>0.55</v>
      </c>
      <c r="AC76" s="1">
        <v>0.201915724778625</v>
      </c>
      <c r="AD76" s="1">
        <v>0.197364139775322</v>
      </c>
      <c r="AE76" s="1">
        <v>0.739094401566202</v>
      </c>
      <c r="AF76" s="1">
        <v>0.801416861349965</v>
      </c>
      <c r="AG76" s="1">
        <v>0.81838891439738</v>
      </c>
      <c r="AH76" s="1">
        <v>0.782106723944512</v>
      </c>
      <c r="AI76" s="1">
        <v>0.810610143472509</v>
      </c>
      <c r="AJ76" s="1">
        <v>0.795453835649853</v>
      </c>
      <c r="AK76" s="1">
        <v>0.810523051159803</v>
      </c>
      <c r="AL76" s="1">
        <v>0.81249263562064</v>
      </c>
      <c r="AM76" s="1">
        <v>0.285229612949704</v>
      </c>
      <c r="AN76" s="1">
        <v>0.621718328248908</v>
      </c>
      <c r="AO76" s="1">
        <v>75</v>
      </c>
    </row>
    <row r="77" s="1" customFormat="1" spans="1:41">
      <c r="A77" s="1" t="s">
        <v>317</v>
      </c>
      <c r="B77" s="1" t="s">
        <v>318</v>
      </c>
      <c r="C77" s="1">
        <v>927.864438</v>
      </c>
      <c r="D77" s="1" t="s">
        <v>319</v>
      </c>
      <c r="E77" s="1" t="s">
        <v>320</v>
      </c>
      <c r="F77" s="1" t="s">
        <v>44</v>
      </c>
      <c r="G77" s="1" t="s">
        <v>45</v>
      </c>
      <c r="H77" s="1">
        <v>8</v>
      </c>
      <c r="I77" s="1">
        <v>64</v>
      </c>
      <c r="J77" s="1">
        <v>63</v>
      </c>
      <c r="K77" s="1">
        <v>98.4375</v>
      </c>
      <c r="L77" s="1">
        <v>36</v>
      </c>
      <c r="M77" s="1">
        <v>56.25</v>
      </c>
      <c r="N77" s="1">
        <v>36</v>
      </c>
      <c r="O77" s="1">
        <v>56.25</v>
      </c>
      <c r="P77" s="1">
        <v>-8.74525</v>
      </c>
      <c r="Q77" s="1">
        <f t="shared" si="2"/>
        <v>-314.829</v>
      </c>
      <c r="R77" s="1">
        <v>-8.7565</v>
      </c>
      <c r="S77" s="1">
        <v>-12.246</v>
      </c>
      <c r="T77" s="1">
        <v>-6.105</v>
      </c>
      <c r="U77" s="1">
        <v>-7.22325</v>
      </c>
      <c r="V77" s="1">
        <v>-7.1855</v>
      </c>
      <c r="W77" s="1">
        <v>-7.33841666666666</v>
      </c>
      <c r="X77" s="1">
        <v>-7.428</v>
      </c>
      <c r="Y77" s="1">
        <v>0.318024251102347</v>
      </c>
      <c r="Z77" s="1">
        <v>0.313946649110851</v>
      </c>
      <c r="AA77" s="1">
        <v>0.552380952380952</v>
      </c>
      <c r="AB77" s="1">
        <v>0.54</v>
      </c>
      <c r="AC77" s="1">
        <v>0.231992887210432</v>
      </c>
      <c r="AD77" s="1">
        <v>0.218252119845541</v>
      </c>
      <c r="AE77" s="1">
        <v>0.735799531767965</v>
      </c>
      <c r="AF77" s="1">
        <v>0.797837072638874</v>
      </c>
      <c r="AG77" s="1">
        <v>0.778510010827925</v>
      </c>
      <c r="AH77" s="1">
        <v>0.784315810349269</v>
      </c>
      <c r="AI77" s="1">
        <v>0.818637603553775</v>
      </c>
      <c r="AJ77" s="1">
        <v>0.822101278648737</v>
      </c>
      <c r="AK77" s="1">
        <v>0.813852398074831</v>
      </c>
      <c r="AL77" s="1">
        <v>0.813840642163076</v>
      </c>
      <c r="AM77" s="1">
        <v>0.29137237005656</v>
      </c>
      <c r="AN77" s="1">
        <v>0.613677451295207</v>
      </c>
      <c r="AO77" s="1">
        <v>76</v>
      </c>
    </row>
    <row r="78" s="1" customFormat="1" spans="1:41">
      <c r="A78" s="1" t="s">
        <v>321</v>
      </c>
      <c r="B78" s="1" t="s">
        <v>322</v>
      </c>
      <c r="C78" s="1">
        <v>536.028292</v>
      </c>
      <c r="D78" s="1" t="s">
        <v>323</v>
      </c>
      <c r="E78" s="1" t="s">
        <v>324</v>
      </c>
      <c r="F78" s="1" t="s">
        <v>44</v>
      </c>
      <c r="G78" s="1" t="s">
        <v>45</v>
      </c>
      <c r="H78" s="1">
        <v>8</v>
      </c>
      <c r="I78" s="1">
        <v>64</v>
      </c>
      <c r="J78" s="1">
        <v>64</v>
      </c>
      <c r="K78" s="1">
        <v>100</v>
      </c>
      <c r="L78" s="1">
        <v>56</v>
      </c>
      <c r="M78" s="1">
        <v>87.5</v>
      </c>
      <c r="N78" s="1">
        <v>56</v>
      </c>
      <c r="O78" s="1">
        <v>87.5</v>
      </c>
      <c r="P78" s="1">
        <v>-6.00258928571429</v>
      </c>
      <c r="Q78" s="1">
        <f t="shared" si="2"/>
        <v>-336.145</v>
      </c>
      <c r="R78" s="1">
        <v>-5.477</v>
      </c>
      <c r="S78" s="1">
        <v>-11.235</v>
      </c>
      <c r="T78" s="1">
        <v>-4.723</v>
      </c>
      <c r="U78" s="1">
        <v>-3.75955357142857</v>
      </c>
      <c r="V78" s="1">
        <v>-3.85</v>
      </c>
      <c r="W78" s="1">
        <v>-4.453</v>
      </c>
      <c r="X78" s="1">
        <v>-4.1615</v>
      </c>
      <c r="Y78" s="1">
        <v>0.495987342457506</v>
      </c>
      <c r="Z78" s="1">
        <v>0.551756913154122</v>
      </c>
      <c r="AA78" s="1">
        <v>0.70109375</v>
      </c>
      <c r="AB78" s="1">
        <v>0.705</v>
      </c>
      <c r="AC78" s="1">
        <v>0.208409036405477</v>
      </c>
      <c r="AD78" s="1">
        <v>0.24190614713048</v>
      </c>
      <c r="AE78" s="1">
        <v>0.777434033039251</v>
      </c>
      <c r="AF78" s="1">
        <v>0.813869514089272</v>
      </c>
      <c r="AG78" s="1">
        <v>0.785457277558109</v>
      </c>
      <c r="AH78" s="1">
        <v>0.799119339531709</v>
      </c>
      <c r="AI78" s="1">
        <v>0.793539149980822</v>
      </c>
      <c r="AJ78" s="1">
        <v>0.806935291764179</v>
      </c>
      <c r="AK78" s="1">
        <v>0.814783150148933</v>
      </c>
      <c r="AL78" s="1">
        <v>0.819426092921968</v>
      </c>
      <c r="AM78" s="1">
        <v>0.496770291846325</v>
      </c>
      <c r="AN78" s="1">
        <v>0.681295755374403</v>
      </c>
      <c r="AO78" s="1">
        <v>77</v>
      </c>
    </row>
    <row r="79" s="1" customFormat="1" spans="1:41">
      <c r="A79" s="1" t="s">
        <v>321</v>
      </c>
      <c r="B79" s="1" t="s">
        <v>325</v>
      </c>
      <c r="C79" s="1">
        <v>475.258111</v>
      </c>
      <c r="D79" s="1" t="s">
        <v>326</v>
      </c>
      <c r="E79" s="1" t="s">
        <v>327</v>
      </c>
      <c r="F79" s="1" t="s">
        <v>44</v>
      </c>
      <c r="G79" s="1" t="s">
        <v>45</v>
      </c>
      <c r="H79" s="1">
        <v>8</v>
      </c>
      <c r="I79" s="1">
        <v>64</v>
      </c>
      <c r="J79" s="1">
        <v>64</v>
      </c>
      <c r="K79" s="1">
        <v>100</v>
      </c>
      <c r="L79" s="1">
        <v>34</v>
      </c>
      <c r="M79" s="1">
        <v>53.125</v>
      </c>
      <c r="N79" s="1">
        <v>34</v>
      </c>
      <c r="O79" s="1">
        <v>53.125</v>
      </c>
      <c r="P79" s="1">
        <v>-5.62752941176471</v>
      </c>
      <c r="Q79" s="1">
        <f t="shared" si="2"/>
        <v>-191.336</v>
      </c>
      <c r="R79" s="1">
        <v>-5.6105</v>
      </c>
      <c r="S79" s="1">
        <v>-10.157</v>
      </c>
      <c r="T79" s="1">
        <v>-3.909</v>
      </c>
      <c r="U79" s="1">
        <v>-3.01791176470588</v>
      </c>
      <c r="V79" s="1">
        <v>-3.062</v>
      </c>
      <c r="W79" s="1">
        <v>-3.67911764705882</v>
      </c>
      <c r="X79" s="1">
        <v>-3.4975</v>
      </c>
      <c r="Y79" s="1">
        <v>0.439972205610979</v>
      </c>
      <c r="Z79" s="1">
        <v>0.453068885780522</v>
      </c>
      <c r="AA79" s="1">
        <v>0.67046875</v>
      </c>
      <c r="AB79" s="1">
        <v>0.655</v>
      </c>
      <c r="AC79" s="1">
        <v>0.226486234012427</v>
      </c>
      <c r="AD79" s="1">
        <v>0.212031512447535</v>
      </c>
      <c r="AE79" s="1">
        <v>0.757976696719513</v>
      </c>
      <c r="AF79" s="1">
        <v>0.806799737626301</v>
      </c>
      <c r="AG79" s="1">
        <v>0.789807309050858</v>
      </c>
      <c r="AH79" s="1">
        <v>0.813521259779329</v>
      </c>
      <c r="AI79" s="1">
        <v>0.823027745087548</v>
      </c>
      <c r="AJ79" s="1">
        <v>0.80973387421191</v>
      </c>
      <c r="AK79" s="1">
        <v>0.805904451165395</v>
      </c>
      <c r="AL79" s="1">
        <v>0.813902546646702</v>
      </c>
      <c r="AM79" s="1">
        <v>0.387104941889757</v>
      </c>
      <c r="AN79" s="1">
        <v>0.645695200221215</v>
      </c>
      <c r="AO79" s="1">
        <v>78</v>
      </c>
    </row>
    <row r="80" s="1" customFormat="1" spans="1:41">
      <c r="A80" s="1" t="s">
        <v>328</v>
      </c>
      <c r="B80" s="1" t="s">
        <v>329</v>
      </c>
      <c r="C80" s="1">
        <v>1173.447942</v>
      </c>
      <c r="D80" s="1" t="s">
        <v>330</v>
      </c>
      <c r="E80" s="1" t="s">
        <v>331</v>
      </c>
      <c r="F80" s="1" t="s">
        <v>44</v>
      </c>
      <c r="G80" s="1" t="s">
        <v>45</v>
      </c>
      <c r="H80" s="1">
        <v>8</v>
      </c>
      <c r="I80" s="1">
        <v>64</v>
      </c>
      <c r="J80" s="1">
        <v>63</v>
      </c>
      <c r="K80" s="1">
        <v>98.4375</v>
      </c>
      <c r="L80" s="1">
        <v>41</v>
      </c>
      <c r="M80" s="1">
        <v>64.0625</v>
      </c>
      <c r="N80" s="1">
        <v>41</v>
      </c>
      <c r="O80" s="1">
        <v>64.0625</v>
      </c>
      <c r="P80" s="1">
        <v>-9.82012195121951</v>
      </c>
      <c r="Q80" s="1">
        <f t="shared" si="2"/>
        <v>-402.625</v>
      </c>
      <c r="R80" s="1">
        <v>-9.673</v>
      </c>
      <c r="S80" s="1">
        <v>-12.621</v>
      </c>
      <c r="T80" s="1">
        <v>-6.567</v>
      </c>
      <c r="U80" s="1">
        <v>-7.68182926829268</v>
      </c>
      <c r="V80" s="1">
        <v>-7.515</v>
      </c>
      <c r="W80" s="1">
        <v>-7.88760975609756</v>
      </c>
      <c r="X80" s="1">
        <v>-7.742</v>
      </c>
      <c r="Y80" s="1">
        <v>0.258775375942969</v>
      </c>
      <c r="Z80" s="1">
        <v>0.245461824036039</v>
      </c>
      <c r="AA80" s="1">
        <v>0.554444444444445</v>
      </c>
      <c r="AB80" s="1">
        <v>0.54</v>
      </c>
      <c r="AC80" s="1">
        <v>0.209882243750957</v>
      </c>
      <c r="AD80" s="1">
        <v>0.194850116819206</v>
      </c>
      <c r="AE80" s="1">
        <v>0.7343980524476</v>
      </c>
      <c r="AF80" s="1">
        <v>0.80183925827209</v>
      </c>
      <c r="AG80" s="1">
        <v>0.798852450498296</v>
      </c>
      <c r="AH80" s="1">
        <v>0.785816815451331</v>
      </c>
      <c r="AI80" s="1">
        <v>0.810953334571552</v>
      </c>
      <c r="AJ80" s="1">
        <v>0.809711896942522</v>
      </c>
      <c r="AK80" s="1">
        <v>0.802189509073606</v>
      </c>
      <c r="AL80" s="1">
        <v>0.814292510613647</v>
      </c>
      <c r="AM80" s="1">
        <v>0.264358166480289</v>
      </c>
      <c r="AN80" s="1">
        <v>0.607495651363888</v>
      </c>
      <c r="AO80" s="1">
        <v>79</v>
      </c>
    </row>
    <row r="81" s="1" customFormat="1" spans="1:41">
      <c r="A81" s="1" t="s">
        <v>332</v>
      </c>
      <c r="B81" s="1" t="s">
        <v>333</v>
      </c>
      <c r="C81" s="1">
        <v>1661.773122</v>
      </c>
      <c r="D81" s="1" t="s">
        <v>334</v>
      </c>
      <c r="E81" s="1" t="s">
        <v>335</v>
      </c>
      <c r="F81" s="1" t="s">
        <v>44</v>
      </c>
      <c r="G81" s="1" t="s">
        <v>45</v>
      </c>
      <c r="H81" s="1">
        <v>8</v>
      </c>
      <c r="I81" s="1">
        <v>64</v>
      </c>
      <c r="J81" s="1">
        <v>63</v>
      </c>
      <c r="K81" s="1">
        <v>98.4375</v>
      </c>
      <c r="L81" s="1">
        <v>36</v>
      </c>
      <c r="M81" s="1">
        <v>56.25</v>
      </c>
      <c r="N81" s="1">
        <v>36</v>
      </c>
      <c r="O81" s="1">
        <v>56.25</v>
      </c>
      <c r="P81" s="1">
        <v>-11.2768888888889</v>
      </c>
      <c r="Q81" s="1">
        <f t="shared" si="2"/>
        <v>-405.968</v>
      </c>
      <c r="R81" s="1">
        <v>-11.495</v>
      </c>
      <c r="S81" s="1">
        <v>-15.076</v>
      </c>
      <c r="T81" s="1">
        <v>-8.068</v>
      </c>
      <c r="U81" s="1">
        <v>-10.0788888888889</v>
      </c>
      <c r="V81" s="1">
        <v>-10.326</v>
      </c>
      <c r="W81" s="1">
        <v>-10.2363055555555</v>
      </c>
      <c r="X81" s="1">
        <v>-10.1715</v>
      </c>
      <c r="Y81" s="1">
        <v>0.127597424883506</v>
      </c>
      <c r="Z81" s="1">
        <v>0.105154212732401</v>
      </c>
      <c r="AA81" s="1">
        <v>0.511587301587302</v>
      </c>
      <c r="AB81" s="1">
        <v>0.47</v>
      </c>
      <c r="AC81" s="1">
        <v>0.209046060437889</v>
      </c>
      <c r="AD81" s="1">
        <v>0.200107393069365</v>
      </c>
      <c r="AE81" s="1">
        <v>0.699761894625978</v>
      </c>
      <c r="AF81" s="1">
        <v>0.784524567611406</v>
      </c>
      <c r="AG81" s="1">
        <v>0.789657013784224</v>
      </c>
      <c r="AH81" s="1">
        <v>0.772514010379064</v>
      </c>
      <c r="AI81" s="1">
        <v>0.810455579922644</v>
      </c>
      <c r="AJ81" s="1">
        <v>0.806266635922289</v>
      </c>
      <c r="AK81" s="1">
        <v>0.801475096310149</v>
      </c>
      <c r="AL81" s="1">
        <v>0.806050222003764</v>
      </c>
      <c r="AM81" s="1">
        <v>0.256299668408303</v>
      </c>
      <c r="AN81" s="1">
        <v>0.555467013904148</v>
      </c>
      <c r="AO81" s="1">
        <v>80</v>
      </c>
    </row>
    <row r="82" s="1" customFormat="1" spans="1:41">
      <c r="A82" s="1" t="s">
        <v>336</v>
      </c>
      <c r="B82" s="1" t="s">
        <v>337</v>
      </c>
      <c r="C82" s="1">
        <v>2130.057892</v>
      </c>
      <c r="D82" s="1" t="s">
        <v>338</v>
      </c>
      <c r="E82" s="1" t="s">
        <v>339</v>
      </c>
      <c r="F82" s="1" t="s">
        <v>44</v>
      </c>
      <c r="G82" s="1" t="s">
        <v>45</v>
      </c>
      <c r="H82" s="1">
        <v>8</v>
      </c>
      <c r="I82" s="1">
        <v>64</v>
      </c>
      <c r="J82" s="1">
        <v>64</v>
      </c>
      <c r="K82" s="1">
        <v>100</v>
      </c>
      <c r="L82" s="1">
        <v>44</v>
      </c>
      <c r="M82" s="1">
        <v>68.75</v>
      </c>
      <c r="N82" s="1">
        <v>44</v>
      </c>
      <c r="O82" s="1">
        <v>68.75</v>
      </c>
      <c r="P82" s="1">
        <v>-10.0795681818182</v>
      </c>
      <c r="Q82" s="1">
        <f t="shared" si="2"/>
        <v>-443.501000000001</v>
      </c>
      <c r="R82" s="1">
        <v>-9.7705</v>
      </c>
      <c r="S82" s="1">
        <v>-14.339</v>
      </c>
      <c r="T82" s="1">
        <v>-7.642</v>
      </c>
      <c r="U82" s="1">
        <v>-8.37059090909091</v>
      </c>
      <c r="V82" s="1">
        <v>-8.1175</v>
      </c>
      <c r="W82" s="1">
        <v>-8.58554545454545</v>
      </c>
      <c r="X82" s="1">
        <v>-8.3245</v>
      </c>
      <c r="Y82" s="1">
        <v>0.0977180239461028</v>
      </c>
      <c r="Z82" s="1">
        <v>0.0884764620099517</v>
      </c>
      <c r="AA82" s="1">
        <v>0.528125</v>
      </c>
      <c r="AB82" s="1">
        <v>0.525</v>
      </c>
      <c r="AC82" s="1">
        <v>0.196472225338424</v>
      </c>
      <c r="AD82" s="1">
        <v>0.196925794381347</v>
      </c>
      <c r="AE82" s="1">
        <v>0.708071520541508</v>
      </c>
      <c r="AF82" s="1">
        <v>0.788723410549509</v>
      </c>
      <c r="AG82" s="1">
        <v>0.795185150709398</v>
      </c>
      <c r="AH82" s="1">
        <v>0.793385908460138</v>
      </c>
      <c r="AI82" s="1">
        <v>0.810436291662654</v>
      </c>
      <c r="AJ82" s="1">
        <v>0.804400951041983</v>
      </c>
      <c r="AK82" s="1">
        <v>0.803350421209957</v>
      </c>
      <c r="AL82" s="1">
        <v>0.793242574228594</v>
      </c>
      <c r="AM82" s="1">
        <v>0.263144626905865</v>
      </c>
      <c r="AN82" s="1">
        <v>0.582948908820744</v>
      </c>
      <c r="AO82" s="1">
        <v>81</v>
      </c>
    </row>
    <row r="83" s="1" customFormat="1" spans="1:41">
      <c r="A83" s="1" t="s">
        <v>340</v>
      </c>
      <c r="B83" s="1" t="s">
        <v>341</v>
      </c>
      <c r="C83" s="1">
        <v>1015.60857</v>
      </c>
      <c r="D83" s="1" t="s">
        <v>342</v>
      </c>
      <c r="E83" s="1" t="s">
        <v>343</v>
      </c>
      <c r="F83" s="1" t="s">
        <v>44</v>
      </c>
      <c r="G83" s="1" t="s">
        <v>45</v>
      </c>
      <c r="H83" s="1">
        <v>8</v>
      </c>
      <c r="I83" s="1">
        <v>64</v>
      </c>
      <c r="J83" s="1">
        <v>62</v>
      </c>
      <c r="K83" s="1">
        <v>96.875</v>
      </c>
      <c r="L83" s="1">
        <v>45</v>
      </c>
      <c r="M83" s="1">
        <v>70.3125</v>
      </c>
      <c r="N83" s="1">
        <v>45</v>
      </c>
      <c r="O83" s="1">
        <v>70.3125</v>
      </c>
      <c r="P83" s="1">
        <v>-8.31191111111111</v>
      </c>
      <c r="Q83" s="1">
        <f t="shared" si="2"/>
        <v>-374.036</v>
      </c>
      <c r="R83" s="1">
        <v>-8.276</v>
      </c>
      <c r="S83" s="1">
        <v>-11.426</v>
      </c>
      <c r="T83" s="1">
        <v>-6.359</v>
      </c>
      <c r="U83" s="1">
        <v>-6.20835555555556</v>
      </c>
      <c r="V83" s="1">
        <v>-6.143</v>
      </c>
      <c r="W83" s="1">
        <v>-6.68788888888889</v>
      </c>
      <c r="X83" s="1">
        <v>-6.558</v>
      </c>
      <c r="Y83" s="1">
        <v>0.345167274914702</v>
      </c>
      <c r="Z83" s="1">
        <v>0.334249910315583</v>
      </c>
      <c r="AA83" s="1">
        <v>0.611935483870968</v>
      </c>
      <c r="AB83" s="1">
        <v>0.59</v>
      </c>
      <c r="AC83" s="1">
        <v>0.191877881814692</v>
      </c>
      <c r="AD83" s="1">
        <v>0.18398003163801</v>
      </c>
      <c r="AE83" s="1">
        <v>0.748266916185416</v>
      </c>
      <c r="AF83" s="1">
        <v>0.793858123179275</v>
      </c>
      <c r="AG83" s="1">
        <v>0.788278122461293</v>
      </c>
      <c r="AH83" s="1">
        <v>0.792577040738673</v>
      </c>
      <c r="AI83" s="1">
        <v>0.816712299348373</v>
      </c>
      <c r="AJ83" s="1">
        <v>0.821290032130245</v>
      </c>
      <c r="AK83" s="1">
        <v>0.809098492309952</v>
      </c>
      <c r="AL83" s="1">
        <v>0.818419202545483</v>
      </c>
      <c r="AM83" s="1">
        <v>0.297207196272369</v>
      </c>
      <c r="AN83" s="1">
        <v>0.627183869288021</v>
      </c>
      <c r="AO83" s="1">
        <v>82</v>
      </c>
    </row>
    <row r="84" s="1" customFormat="1" spans="1:41">
      <c r="A84" s="1" t="s">
        <v>344</v>
      </c>
      <c r="B84" s="1" t="s">
        <v>345</v>
      </c>
      <c r="C84" s="1">
        <v>2117.25833</v>
      </c>
      <c r="D84" s="1" t="s">
        <v>346</v>
      </c>
      <c r="E84" s="1" t="s">
        <v>347</v>
      </c>
      <c r="F84" s="1" t="s">
        <v>44</v>
      </c>
      <c r="G84" s="1" t="s">
        <v>45</v>
      </c>
      <c r="H84" s="1">
        <v>8</v>
      </c>
      <c r="I84" s="1">
        <v>64</v>
      </c>
      <c r="J84" s="1">
        <v>64</v>
      </c>
      <c r="K84" s="1">
        <v>100</v>
      </c>
      <c r="L84" s="1">
        <v>40</v>
      </c>
      <c r="M84" s="1">
        <v>62.5</v>
      </c>
      <c r="N84" s="1">
        <v>40</v>
      </c>
      <c r="O84" s="1">
        <v>62.5</v>
      </c>
      <c r="P84" s="1">
        <v>-8.4177</v>
      </c>
      <c r="Q84" s="1">
        <f t="shared" si="2"/>
        <v>-336.708</v>
      </c>
      <c r="R84" s="1">
        <v>-8.164</v>
      </c>
      <c r="S84" s="1">
        <v>-11.89</v>
      </c>
      <c r="T84" s="1">
        <v>-5.644</v>
      </c>
      <c r="U84" s="1">
        <v>-7.02305</v>
      </c>
      <c r="V84" s="1">
        <v>-6.6895</v>
      </c>
      <c r="W84" s="1">
        <v>-7.19375</v>
      </c>
      <c r="X84" s="1">
        <v>-6.8825</v>
      </c>
      <c r="Y84" s="1">
        <v>0.0963674861852472</v>
      </c>
      <c r="Z84" s="1">
        <v>0.0817256455646974</v>
      </c>
      <c r="AA84" s="1">
        <v>0.5490625</v>
      </c>
      <c r="AB84" s="1">
        <v>0.545</v>
      </c>
      <c r="AC84" s="1">
        <v>0.163694881695042</v>
      </c>
      <c r="AD84" s="1">
        <v>0.162938032619662</v>
      </c>
      <c r="AE84" s="1">
        <v>0.71671506644472</v>
      </c>
      <c r="AF84" s="1">
        <v>0.793256327923357</v>
      </c>
      <c r="AG84" s="1">
        <v>0.80117230887426</v>
      </c>
      <c r="AH84" s="1">
        <v>0.784290866650577</v>
      </c>
      <c r="AI84" s="1">
        <v>0.817077232108233</v>
      </c>
      <c r="AJ84" s="1">
        <v>0.784778193902293</v>
      </c>
      <c r="AK84" s="1">
        <v>0.796659295617052</v>
      </c>
      <c r="AL84" s="1">
        <v>0.808795513259931</v>
      </c>
      <c r="AM84" s="1">
        <v>0.275518513349455</v>
      </c>
      <c r="AN84" s="1">
        <v>0.587324761997751</v>
      </c>
      <c r="AO84" s="1">
        <v>83</v>
      </c>
    </row>
    <row r="85" s="1" customFormat="1" spans="1:41">
      <c r="A85" s="1" t="s">
        <v>348</v>
      </c>
      <c r="B85" s="1" t="s">
        <v>349</v>
      </c>
      <c r="C85" s="1">
        <v>1004.226889</v>
      </c>
      <c r="D85" s="1" t="s">
        <v>350</v>
      </c>
      <c r="E85" s="1" t="s">
        <v>351</v>
      </c>
      <c r="F85" s="1" t="s">
        <v>44</v>
      </c>
      <c r="G85" s="1" t="s">
        <v>45</v>
      </c>
      <c r="H85" s="1">
        <v>8</v>
      </c>
      <c r="I85" s="1">
        <v>64</v>
      </c>
      <c r="J85" s="1">
        <v>61</v>
      </c>
      <c r="K85" s="1">
        <v>95.3125</v>
      </c>
      <c r="L85" s="1">
        <v>39</v>
      </c>
      <c r="M85" s="1">
        <v>60.9375</v>
      </c>
      <c r="N85" s="1">
        <v>39</v>
      </c>
      <c r="O85" s="1">
        <v>60.9375</v>
      </c>
      <c r="P85" s="1">
        <v>-8.04210256410256</v>
      </c>
      <c r="Q85" s="1">
        <f t="shared" si="2"/>
        <v>-313.642</v>
      </c>
      <c r="R85" s="1">
        <v>-8.365</v>
      </c>
      <c r="S85" s="1">
        <v>-10.629</v>
      </c>
      <c r="T85" s="1">
        <v>-5.456</v>
      </c>
      <c r="U85" s="1">
        <v>-5.6774358974359</v>
      </c>
      <c r="V85" s="1">
        <v>-5.727</v>
      </c>
      <c r="W85" s="1">
        <v>-6.08389743589744</v>
      </c>
      <c r="X85" s="1">
        <v>-6.073</v>
      </c>
      <c r="Y85" s="1">
        <v>0.387510944199105</v>
      </c>
      <c r="Z85" s="1">
        <v>0.370968243282399</v>
      </c>
      <c r="AA85" s="1">
        <v>0.616885245901639</v>
      </c>
      <c r="AB85" s="1">
        <v>0.6</v>
      </c>
      <c r="AC85" s="1">
        <v>0.173679961883322</v>
      </c>
      <c r="AD85" s="1">
        <v>0.165961435196488</v>
      </c>
      <c r="AE85" s="1">
        <v>0.747206903425741</v>
      </c>
      <c r="AF85" s="1">
        <v>0.80405678831766</v>
      </c>
      <c r="AG85" s="1">
        <v>0.7984201784781</v>
      </c>
      <c r="AH85" s="1">
        <v>0.798512731337606</v>
      </c>
      <c r="AI85" s="1">
        <v>0.819638784729547</v>
      </c>
      <c r="AJ85" s="1">
        <v>0.803970858077408</v>
      </c>
      <c r="AK85" s="1">
        <v>0.802816745733451</v>
      </c>
      <c r="AL85" s="1">
        <v>0.820104265947159</v>
      </c>
      <c r="AM85" s="1">
        <v>0.326418870330085</v>
      </c>
      <c r="AN85" s="1">
        <v>0.622717272976237</v>
      </c>
      <c r="AO85" s="1">
        <v>84</v>
      </c>
    </row>
    <row r="86" s="1" customFormat="1" spans="1:41">
      <c r="A86" s="1" t="s">
        <v>352</v>
      </c>
      <c r="B86" s="1" t="s">
        <v>353</v>
      </c>
      <c r="C86" s="1">
        <v>1300.509936</v>
      </c>
      <c r="D86" s="1" t="s">
        <v>354</v>
      </c>
      <c r="E86" s="1" t="s">
        <v>355</v>
      </c>
      <c r="F86" s="1" t="s">
        <v>44</v>
      </c>
      <c r="G86" s="1" t="s">
        <v>45</v>
      </c>
      <c r="H86" s="1">
        <v>8</v>
      </c>
      <c r="I86" s="1">
        <v>64</v>
      </c>
      <c r="J86" s="1">
        <v>64</v>
      </c>
      <c r="K86" s="1">
        <v>100</v>
      </c>
      <c r="L86" s="1">
        <v>54</v>
      </c>
      <c r="M86" s="1">
        <v>84.375</v>
      </c>
      <c r="N86" s="1">
        <v>54</v>
      </c>
      <c r="O86" s="1">
        <v>84.375</v>
      </c>
      <c r="P86" s="1">
        <v>-10.4184259259259</v>
      </c>
      <c r="Q86" s="1">
        <f t="shared" si="2"/>
        <v>-562.594999999999</v>
      </c>
      <c r="R86" s="1">
        <v>-9.467</v>
      </c>
      <c r="S86" s="1">
        <v>-16.612</v>
      </c>
      <c r="T86" s="1">
        <v>-7.065</v>
      </c>
      <c r="U86" s="1">
        <v>-9.45644444444445</v>
      </c>
      <c r="V86" s="1">
        <v>-8.7455</v>
      </c>
      <c r="W86" s="1">
        <v>-9.86287037037037</v>
      </c>
      <c r="X86" s="1">
        <v>-9.088</v>
      </c>
      <c r="Y86" s="1">
        <v>0.226876356523815</v>
      </c>
      <c r="Z86" s="1">
        <v>0.198661963374645</v>
      </c>
      <c r="AA86" s="1">
        <v>0.53890625</v>
      </c>
      <c r="AB86" s="1">
        <v>0.54</v>
      </c>
      <c r="AC86" s="1">
        <v>0.213772214891368</v>
      </c>
      <c r="AD86" s="1">
        <v>0.203575863131597</v>
      </c>
      <c r="AE86" s="1">
        <v>0.733449905467228</v>
      </c>
      <c r="AF86" s="1">
        <v>0.797927421158262</v>
      </c>
      <c r="AG86" s="1" t="s">
        <v>49</v>
      </c>
      <c r="AH86" s="1">
        <v>0.770988450128033</v>
      </c>
      <c r="AI86" s="1">
        <v>0.800961848494647</v>
      </c>
      <c r="AJ86" s="1" t="s">
        <v>49</v>
      </c>
      <c r="AK86" s="1">
        <v>0.79862889499138</v>
      </c>
      <c r="AL86" s="1">
        <v>0.814144574644792</v>
      </c>
      <c r="AM86" s="1">
        <v>0.246646741683924</v>
      </c>
      <c r="AN86" s="1">
        <v>0.615074271235467</v>
      </c>
      <c r="AO86" s="1">
        <v>85</v>
      </c>
    </row>
    <row r="87" s="1" customFormat="1" spans="1:41">
      <c r="A87" s="1" t="s">
        <v>356</v>
      </c>
      <c r="B87" s="1" t="s">
        <v>357</v>
      </c>
      <c r="C87" s="1">
        <v>834.828426</v>
      </c>
      <c r="D87" s="1" t="s">
        <v>358</v>
      </c>
      <c r="E87" s="1" t="s">
        <v>359</v>
      </c>
      <c r="F87" s="1" t="s">
        <v>44</v>
      </c>
      <c r="G87" s="1" t="s">
        <v>45</v>
      </c>
      <c r="H87" s="1">
        <v>8</v>
      </c>
      <c r="I87" s="1">
        <v>64</v>
      </c>
      <c r="J87" s="1">
        <v>63</v>
      </c>
      <c r="K87" s="1">
        <v>98.4375</v>
      </c>
      <c r="L87" s="1">
        <v>47</v>
      </c>
      <c r="M87" s="1">
        <v>73.4375</v>
      </c>
      <c r="N87" s="1">
        <v>47</v>
      </c>
      <c r="O87" s="1">
        <v>73.4375</v>
      </c>
      <c r="P87" s="1">
        <v>-8.25004255319149</v>
      </c>
      <c r="Q87" s="1">
        <f t="shared" si="2"/>
        <v>-387.752</v>
      </c>
      <c r="R87" s="1">
        <v>-8.294</v>
      </c>
      <c r="S87" s="1">
        <v>-10.127</v>
      </c>
      <c r="T87" s="1">
        <v>-5.206</v>
      </c>
      <c r="U87" s="1">
        <v>-6.77065957446808</v>
      </c>
      <c r="V87" s="1">
        <v>-6.8</v>
      </c>
      <c r="W87" s="1">
        <v>-6.98706382978724</v>
      </c>
      <c r="X87" s="1">
        <v>-7.052</v>
      </c>
      <c r="Y87" s="1">
        <v>0.394807863471703</v>
      </c>
      <c r="Z87" s="1">
        <v>0.409610690428738</v>
      </c>
      <c r="AA87" s="1">
        <v>0.652857142857143</v>
      </c>
      <c r="AB87" s="1">
        <v>0.65</v>
      </c>
      <c r="AC87" s="1">
        <v>0.247251171920331</v>
      </c>
      <c r="AD87" s="1">
        <v>0.251968618193203</v>
      </c>
      <c r="AE87" s="1">
        <v>0.73459228178958</v>
      </c>
      <c r="AF87" s="1">
        <v>0.799060284428249</v>
      </c>
      <c r="AG87" s="1">
        <v>0.80968057563547</v>
      </c>
      <c r="AH87" s="1">
        <v>0.806784740140854</v>
      </c>
      <c r="AI87" s="1">
        <v>0.81821920536626</v>
      </c>
      <c r="AJ87" s="1">
        <v>0.785635660481522</v>
      </c>
      <c r="AK87" s="1">
        <v>0.817384100794222</v>
      </c>
      <c r="AL87" s="1">
        <v>0.808711449182506</v>
      </c>
      <c r="AM87" s="1">
        <v>0.322580651973952</v>
      </c>
      <c r="AN87" s="1">
        <v>0.610864202109475</v>
      </c>
      <c r="AO87" s="1">
        <v>86</v>
      </c>
    </row>
    <row r="88" s="1" customFormat="1" spans="1:41">
      <c r="A88" s="1" t="s">
        <v>360</v>
      </c>
      <c r="B88" s="1" t="s">
        <v>361</v>
      </c>
      <c r="C88" s="1">
        <v>589.331009</v>
      </c>
      <c r="D88" s="1" t="s">
        <v>362</v>
      </c>
      <c r="E88" s="1" t="s">
        <v>363</v>
      </c>
      <c r="F88" s="1" t="s">
        <v>44</v>
      </c>
      <c r="G88" s="1" t="s">
        <v>45</v>
      </c>
      <c r="H88" s="1">
        <v>8</v>
      </c>
      <c r="I88" s="1">
        <v>64</v>
      </c>
      <c r="J88" s="1">
        <v>64</v>
      </c>
      <c r="K88" s="1">
        <v>100</v>
      </c>
      <c r="L88" s="1">
        <v>61</v>
      </c>
      <c r="M88" s="1">
        <v>95.3125</v>
      </c>
      <c r="N88" s="1">
        <v>61</v>
      </c>
      <c r="O88" s="1">
        <v>95.3125</v>
      </c>
      <c r="P88" s="1">
        <v>-6.45306557377049</v>
      </c>
      <c r="Q88" s="1">
        <f t="shared" si="2"/>
        <v>-393.637</v>
      </c>
      <c r="R88" s="1">
        <v>-6.125</v>
      </c>
      <c r="S88" s="1">
        <v>-10.786</v>
      </c>
      <c r="T88" s="1">
        <v>-4.6</v>
      </c>
      <c r="U88" s="1">
        <v>-3.253</v>
      </c>
      <c r="V88" s="1">
        <v>-4.454</v>
      </c>
      <c r="W88" s="1">
        <v>-4.55995081967213</v>
      </c>
      <c r="X88" s="1">
        <v>-4.76</v>
      </c>
      <c r="Y88" s="1">
        <v>0.435826374249986</v>
      </c>
      <c r="Z88" s="1">
        <v>0.476463861718344</v>
      </c>
      <c r="AA88" s="1">
        <v>0.61609375</v>
      </c>
      <c r="AB88" s="1">
        <v>0.62</v>
      </c>
      <c r="AC88" s="1">
        <v>0.286463251252921</v>
      </c>
      <c r="AD88" s="1">
        <v>0.294435394592618</v>
      </c>
      <c r="AE88" s="1">
        <v>0.782829120150635</v>
      </c>
      <c r="AF88" s="1">
        <v>0.813941206383837</v>
      </c>
      <c r="AG88" s="1">
        <v>0.806513538484955</v>
      </c>
      <c r="AH88" s="1">
        <v>0.791617379388788</v>
      </c>
      <c r="AI88" s="1">
        <v>0.812660788424144</v>
      </c>
      <c r="AJ88" s="1">
        <v>0.793549904942271</v>
      </c>
      <c r="AK88" s="1">
        <v>0.810771661665533</v>
      </c>
      <c r="AL88" s="1">
        <v>0.814059002947139</v>
      </c>
      <c r="AM88" s="1">
        <v>0.49545396561887</v>
      </c>
      <c r="AN88" s="1">
        <v>0.68780541558966</v>
      </c>
      <c r="AO88" s="1">
        <v>87</v>
      </c>
    </row>
    <row r="89" s="1" customFormat="1" spans="1:41">
      <c r="A89" s="1" t="s">
        <v>360</v>
      </c>
      <c r="B89" s="1" t="s">
        <v>364</v>
      </c>
      <c r="C89" s="1">
        <v>838.489359</v>
      </c>
      <c r="D89" s="1" t="s">
        <v>365</v>
      </c>
      <c r="E89" s="1" t="s">
        <v>366</v>
      </c>
      <c r="F89" s="1" t="s">
        <v>44</v>
      </c>
      <c r="G89" s="1" t="s">
        <v>45</v>
      </c>
      <c r="H89" s="1">
        <v>8</v>
      </c>
      <c r="I89" s="1">
        <v>64</v>
      </c>
      <c r="J89" s="1">
        <v>63</v>
      </c>
      <c r="K89" s="1">
        <v>98.4375</v>
      </c>
      <c r="L89" s="1">
        <v>52</v>
      </c>
      <c r="M89" s="1">
        <v>81.25</v>
      </c>
      <c r="N89" s="1">
        <v>52</v>
      </c>
      <c r="O89" s="1">
        <v>81.25</v>
      </c>
      <c r="P89" s="1">
        <v>-7.40575</v>
      </c>
      <c r="Q89" s="1">
        <f t="shared" si="2"/>
        <v>-385.099</v>
      </c>
      <c r="R89" s="1">
        <v>-7.4745</v>
      </c>
      <c r="S89" s="1">
        <v>-10.923</v>
      </c>
      <c r="T89" s="1">
        <v>-5.222</v>
      </c>
      <c r="U89" s="1">
        <v>-4.96788461538462</v>
      </c>
      <c r="V89" s="1">
        <v>-5.165</v>
      </c>
      <c r="W89" s="1">
        <v>-5.75213461538462</v>
      </c>
      <c r="X89" s="1">
        <v>-5.665</v>
      </c>
      <c r="Y89" s="1">
        <v>0.298635229580874</v>
      </c>
      <c r="Z89" s="1">
        <v>0.253592793334217</v>
      </c>
      <c r="AA89" s="1">
        <v>0.593492063492064</v>
      </c>
      <c r="AB89" s="1">
        <v>0.58</v>
      </c>
      <c r="AC89" s="1">
        <v>0.194574870903775</v>
      </c>
      <c r="AD89" s="1">
        <v>0.187518999943026</v>
      </c>
      <c r="AE89" s="1">
        <v>0.761018396570716</v>
      </c>
      <c r="AF89" s="1">
        <v>0.804530243016479</v>
      </c>
      <c r="AG89" s="1">
        <v>0.818177979803097</v>
      </c>
      <c r="AH89" s="1">
        <v>0.775269519822125</v>
      </c>
      <c r="AI89" s="1">
        <v>0.812473823117944</v>
      </c>
      <c r="AJ89" s="1">
        <v>0.802687022744419</v>
      </c>
      <c r="AK89" s="1">
        <v>0.799357300667753</v>
      </c>
      <c r="AL89" s="1">
        <v>0.814049004665952</v>
      </c>
      <c r="AM89" s="1">
        <v>0.320161786808932</v>
      </c>
      <c r="AN89" s="1">
        <v>0.647359706754545</v>
      </c>
      <c r="AO89" s="1">
        <v>88</v>
      </c>
    </row>
    <row r="90" s="1" customFormat="1" spans="1:41">
      <c r="A90" s="1" t="s">
        <v>367</v>
      </c>
      <c r="B90" s="1" t="s">
        <v>368</v>
      </c>
      <c r="C90" s="1">
        <v>760.738627</v>
      </c>
      <c r="D90" s="1" t="s">
        <v>369</v>
      </c>
      <c r="E90" s="1" t="s">
        <v>370</v>
      </c>
      <c r="F90" s="1" t="s">
        <v>44</v>
      </c>
      <c r="G90" s="1" t="s">
        <v>45</v>
      </c>
      <c r="H90" s="1">
        <v>8</v>
      </c>
      <c r="I90" s="1">
        <v>64</v>
      </c>
      <c r="J90" s="1">
        <v>64</v>
      </c>
      <c r="K90" s="1">
        <v>100</v>
      </c>
      <c r="L90" s="1">
        <v>51</v>
      </c>
      <c r="M90" s="1">
        <v>79.6875</v>
      </c>
      <c r="N90" s="1">
        <v>51</v>
      </c>
      <c r="O90" s="1">
        <v>79.6875</v>
      </c>
      <c r="P90" s="1">
        <v>-8.10298039215686</v>
      </c>
      <c r="Q90" s="1">
        <f t="shared" si="2"/>
        <v>-413.252</v>
      </c>
      <c r="R90" s="1">
        <v>-8.053</v>
      </c>
      <c r="S90" s="1">
        <v>-11.862</v>
      </c>
      <c r="T90" s="1">
        <v>-5.137</v>
      </c>
      <c r="U90" s="1">
        <v>0.913235294117647</v>
      </c>
      <c r="V90" s="1">
        <v>-4.202</v>
      </c>
      <c r="W90" s="1">
        <v>-5.40388235294118</v>
      </c>
      <c r="X90" s="1">
        <v>-5.921</v>
      </c>
      <c r="Y90" s="1">
        <v>0.417772393997655</v>
      </c>
      <c r="Z90" s="1">
        <v>0.415187641786248</v>
      </c>
      <c r="AA90" s="1">
        <v>0.6025</v>
      </c>
      <c r="AB90" s="1">
        <v>0.59</v>
      </c>
      <c r="AC90" s="1">
        <v>0.256539695720488</v>
      </c>
      <c r="AD90" s="1">
        <v>0.280726640199098</v>
      </c>
      <c r="AE90" s="1">
        <v>0.753849553167731</v>
      </c>
      <c r="AF90" s="1">
        <v>0.802672750374191</v>
      </c>
      <c r="AG90" s="1">
        <v>0.819011330798666</v>
      </c>
      <c r="AH90" s="1">
        <v>0.798221547192485</v>
      </c>
      <c r="AI90" s="1">
        <v>0.820980516783209</v>
      </c>
      <c r="AJ90" s="1">
        <v>0.7970543925223</v>
      </c>
      <c r="AK90" s="1">
        <v>0.807037902349598</v>
      </c>
      <c r="AL90" s="1">
        <v>0.793868388129072</v>
      </c>
      <c r="AM90" s="1">
        <v>0.316755445687791</v>
      </c>
      <c r="AN90" s="1">
        <v>0.638207740061336</v>
      </c>
      <c r="AO90" s="1">
        <v>89</v>
      </c>
    </row>
    <row r="91" s="1" customFormat="1" spans="1:41">
      <c r="A91" s="1" t="s">
        <v>371</v>
      </c>
      <c r="B91" s="1" t="s">
        <v>372</v>
      </c>
      <c r="C91" s="1">
        <v>410.91974</v>
      </c>
      <c r="D91" s="1" t="s">
        <v>373</v>
      </c>
      <c r="E91" s="1" t="s">
        <v>374</v>
      </c>
      <c r="F91" s="1" t="s">
        <v>44</v>
      </c>
      <c r="G91" s="1" t="s">
        <v>45</v>
      </c>
      <c r="H91" s="1">
        <v>8</v>
      </c>
      <c r="I91" s="1">
        <v>64</v>
      </c>
      <c r="J91" s="1">
        <v>64</v>
      </c>
      <c r="K91" s="1">
        <v>100</v>
      </c>
      <c r="L91" s="1">
        <v>50</v>
      </c>
      <c r="M91" s="1">
        <v>78.125</v>
      </c>
      <c r="N91" s="1">
        <v>50</v>
      </c>
      <c r="O91" s="1">
        <v>78.125</v>
      </c>
      <c r="P91" s="1">
        <v>-4.47798</v>
      </c>
      <c r="Q91" s="1">
        <f t="shared" si="2"/>
        <v>-223.899</v>
      </c>
      <c r="R91" s="1">
        <v>-4.3535</v>
      </c>
      <c r="S91" s="1">
        <v>-6.412</v>
      </c>
      <c r="T91" s="1">
        <v>-3.586</v>
      </c>
      <c r="U91" s="1">
        <v>-1.85164</v>
      </c>
      <c r="V91" s="1">
        <v>-1.8205</v>
      </c>
      <c r="W91" s="1">
        <v>-2.22266</v>
      </c>
      <c r="X91" s="1">
        <v>-2.1755</v>
      </c>
      <c r="Y91" s="1">
        <v>0.480783286331101</v>
      </c>
      <c r="Z91" s="1">
        <v>0.507750497866622</v>
      </c>
      <c r="AA91" s="1">
        <v>0.7615625</v>
      </c>
      <c r="AB91" s="1">
        <v>0.775</v>
      </c>
      <c r="AC91" s="1">
        <v>0.259376930013692</v>
      </c>
      <c r="AD91" s="1">
        <v>0.268480567609141</v>
      </c>
      <c r="AE91" s="1">
        <v>0.781050358596232</v>
      </c>
      <c r="AF91" s="1">
        <v>0.81098198018366</v>
      </c>
      <c r="AG91" s="1">
        <v>0.772367396947986</v>
      </c>
      <c r="AH91" s="1">
        <v>0.80430310170537</v>
      </c>
      <c r="AI91" s="1">
        <v>0.827906873919105</v>
      </c>
      <c r="AJ91" s="1" t="s">
        <v>49</v>
      </c>
      <c r="AK91" s="1">
        <v>0.818164699274004</v>
      </c>
      <c r="AL91" s="1">
        <v>0.831137925965565</v>
      </c>
      <c r="AM91" s="1">
        <v>0.491209499981155</v>
      </c>
      <c r="AN91" s="1">
        <v>0.68345332149256</v>
      </c>
      <c r="AO91" s="1">
        <v>90</v>
      </c>
    </row>
    <row r="92" s="1" customFormat="1" spans="1:41">
      <c r="A92" s="1" t="s">
        <v>371</v>
      </c>
      <c r="B92" s="1" t="s">
        <v>375</v>
      </c>
      <c r="C92" s="1">
        <v>831.832692</v>
      </c>
      <c r="D92" s="1" t="s">
        <v>376</v>
      </c>
      <c r="E92" s="1" t="s">
        <v>377</v>
      </c>
      <c r="F92" s="1" t="s">
        <v>44</v>
      </c>
      <c r="G92" s="1" t="s">
        <v>45</v>
      </c>
      <c r="H92" s="1">
        <v>8</v>
      </c>
      <c r="I92" s="1">
        <v>64</v>
      </c>
      <c r="J92" s="1">
        <v>62</v>
      </c>
      <c r="K92" s="1">
        <v>96.875</v>
      </c>
      <c r="L92" s="1">
        <v>41</v>
      </c>
      <c r="M92" s="1">
        <v>64.0625</v>
      </c>
      <c r="N92" s="1">
        <v>41</v>
      </c>
      <c r="O92" s="1">
        <v>64.0625</v>
      </c>
      <c r="P92" s="1">
        <v>-8.00982926829268</v>
      </c>
      <c r="Q92" s="1">
        <f t="shared" si="2"/>
        <v>-328.403</v>
      </c>
      <c r="R92" s="1">
        <v>-7.916</v>
      </c>
      <c r="S92" s="1">
        <v>-11.369</v>
      </c>
      <c r="T92" s="1">
        <v>-4.785</v>
      </c>
      <c r="U92" s="1">
        <v>-5.23185365853659</v>
      </c>
      <c r="V92" s="1">
        <v>-4.985</v>
      </c>
      <c r="W92" s="1">
        <v>-5.46841463414634</v>
      </c>
      <c r="X92" s="1">
        <v>-5.326</v>
      </c>
      <c r="Y92" s="1">
        <v>0.330741346955572</v>
      </c>
      <c r="Z92" s="1">
        <v>0.300879585893034</v>
      </c>
      <c r="AA92" s="1">
        <v>0.57758064516129</v>
      </c>
      <c r="AB92" s="1">
        <v>0.575</v>
      </c>
      <c r="AC92" s="1">
        <v>0.227983857037049</v>
      </c>
      <c r="AD92" s="1">
        <v>0.207959378254848</v>
      </c>
      <c r="AE92" s="1">
        <v>0.755021691014198</v>
      </c>
      <c r="AF92" s="1">
        <v>0.795058964432217</v>
      </c>
      <c r="AG92" s="1">
        <v>0.793438188897105</v>
      </c>
      <c r="AH92" s="1">
        <v>0.802179236596303</v>
      </c>
      <c r="AI92" s="1">
        <v>0.823318240168549</v>
      </c>
      <c r="AJ92" s="1">
        <v>0.832507023418392</v>
      </c>
      <c r="AK92" s="1">
        <v>0.802118884131098</v>
      </c>
      <c r="AL92" s="1">
        <v>0.798910076965997</v>
      </c>
      <c r="AM92" s="1">
        <v>0.314414088028385</v>
      </c>
      <c r="AN92" s="1">
        <v>0.644278885420205</v>
      </c>
      <c r="AO92" s="1">
        <v>91</v>
      </c>
    </row>
    <row r="93" s="1" customFormat="1" spans="1:41">
      <c r="A93" s="1" t="s">
        <v>378</v>
      </c>
      <c r="B93" s="1" t="s">
        <v>379</v>
      </c>
      <c r="C93" s="1">
        <v>1910.731204</v>
      </c>
      <c r="D93" s="1" t="s">
        <v>380</v>
      </c>
      <c r="E93" s="1" t="s">
        <v>381</v>
      </c>
      <c r="F93" s="1" t="s">
        <v>44</v>
      </c>
      <c r="G93" s="1" t="s">
        <v>45</v>
      </c>
      <c r="H93" s="1">
        <v>8</v>
      </c>
      <c r="I93" s="1">
        <v>64</v>
      </c>
      <c r="J93" s="1">
        <v>62</v>
      </c>
      <c r="K93" s="1">
        <v>96.875</v>
      </c>
      <c r="L93" s="1">
        <v>50</v>
      </c>
      <c r="M93" s="1">
        <v>78.125</v>
      </c>
      <c r="N93" s="1">
        <v>50</v>
      </c>
      <c r="O93" s="1">
        <v>78.125</v>
      </c>
      <c r="P93" s="1">
        <v>-9.87316</v>
      </c>
      <c r="Q93" s="1">
        <f t="shared" si="2"/>
        <v>-493.658</v>
      </c>
      <c r="R93" s="1">
        <v>-9.9705</v>
      </c>
      <c r="S93" s="1">
        <v>-13.896</v>
      </c>
      <c r="T93" s="1">
        <v>-6.721</v>
      </c>
      <c r="U93" s="1">
        <v>-7.64038</v>
      </c>
      <c r="V93" s="1">
        <v>-7.4445</v>
      </c>
      <c r="W93" s="1">
        <v>-7.84716</v>
      </c>
      <c r="X93" s="1">
        <v>-7.965</v>
      </c>
      <c r="Y93" s="1">
        <v>0.114717895641416</v>
      </c>
      <c r="Z93" s="1">
        <v>0.100472323253672</v>
      </c>
      <c r="AA93" s="1">
        <v>0.493225806451613</v>
      </c>
      <c r="AB93" s="1">
        <v>0.485</v>
      </c>
      <c r="AC93" s="1">
        <v>0.211553659825905</v>
      </c>
      <c r="AD93" s="1">
        <v>0.208958181783783</v>
      </c>
      <c r="AE93" s="1">
        <v>0.712940714681158</v>
      </c>
      <c r="AF93" s="1">
        <v>0.791660709546825</v>
      </c>
      <c r="AG93" s="1">
        <v>0.794172729840203</v>
      </c>
      <c r="AH93" s="1">
        <v>0.773881326166685</v>
      </c>
      <c r="AI93" s="1">
        <v>0.808018366328788</v>
      </c>
      <c r="AJ93" s="1">
        <v>0.81738366726754</v>
      </c>
      <c r="AK93" s="1">
        <v>0.80016855788351</v>
      </c>
      <c r="AL93" s="1">
        <v>0.811396501989187</v>
      </c>
      <c r="AM93" s="1">
        <v>0.278696531396258</v>
      </c>
      <c r="AN93" s="1">
        <v>0.582471875432608</v>
      </c>
      <c r="AO93" s="1">
        <v>92</v>
      </c>
    </row>
    <row r="94" s="1" customFormat="1" spans="1:41">
      <c r="A94" s="1" t="s">
        <v>382</v>
      </c>
      <c r="B94" s="1" t="s">
        <v>383</v>
      </c>
      <c r="C94" s="1">
        <v>586.922015</v>
      </c>
      <c r="D94" s="1" t="s">
        <v>384</v>
      </c>
      <c r="E94" s="1" t="s">
        <v>385</v>
      </c>
      <c r="F94" s="1" t="s">
        <v>44</v>
      </c>
      <c r="G94" s="1" t="s">
        <v>45</v>
      </c>
      <c r="H94" s="1">
        <v>8</v>
      </c>
      <c r="I94" s="1">
        <v>64</v>
      </c>
      <c r="J94" s="1">
        <v>62</v>
      </c>
      <c r="K94" s="1">
        <v>96.875</v>
      </c>
      <c r="L94" s="1">
        <v>11</v>
      </c>
      <c r="M94" s="1">
        <v>17.1875</v>
      </c>
      <c r="N94" s="1">
        <v>11</v>
      </c>
      <c r="O94" s="1">
        <v>17.1875</v>
      </c>
      <c r="P94" s="1">
        <v>-8.01727272727273</v>
      </c>
      <c r="Q94" s="1">
        <f t="shared" si="2"/>
        <v>-88.19</v>
      </c>
      <c r="R94" s="1">
        <v>-8.117</v>
      </c>
      <c r="S94" s="1">
        <v>-9.113</v>
      </c>
      <c r="T94" s="1">
        <v>-6.523</v>
      </c>
      <c r="U94" s="1">
        <v>-5.87263636363636</v>
      </c>
      <c r="V94" s="1">
        <v>-5.969</v>
      </c>
      <c r="W94" s="1">
        <v>-6.138</v>
      </c>
      <c r="X94" s="1">
        <v>-6.192</v>
      </c>
      <c r="Y94" s="1">
        <v>0.195510439268313</v>
      </c>
      <c r="Z94" s="1">
        <v>0.186270880549644</v>
      </c>
      <c r="AA94" s="1">
        <v>0.615967741935484</v>
      </c>
      <c r="AB94" s="1">
        <v>0.625</v>
      </c>
      <c r="AC94" s="1">
        <v>0.260692466732723</v>
      </c>
      <c r="AD94" s="1">
        <v>0.25500336153982</v>
      </c>
      <c r="AE94" s="1">
        <v>0.750538608911507</v>
      </c>
      <c r="AF94" s="1">
        <v>0.801599180783447</v>
      </c>
      <c r="AG94" s="1" t="s">
        <v>49</v>
      </c>
      <c r="AH94" s="1">
        <v>0.791946319120778</v>
      </c>
      <c r="AI94" s="1">
        <v>0.829858333301281</v>
      </c>
      <c r="AJ94" s="1" t="s">
        <v>49</v>
      </c>
      <c r="AK94" s="1">
        <v>0.802692308747372</v>
      </c>
      <c r="AL94" s="1">
        <v>0.826305602511677</v>
      </c>
      <c r="AM94" s="1">
        <v>0.279008331960068</v>
      </c>
      <c r="AN94" s="1">
        <v>0.658681574588362</v>
      </c>
      <c r="AO94" s="1">
        <v>93</v>
      </c>
    </row>
    <row r="95" s="1" customFormat="1" spans="1:41">
      <c r="A95" s="1" t="s">
        <v>386</v>
      </c>
      <c r="B95" s="1" t="s">
        <v>387</v>
      </c>
      <c r="C95" s="1">
        <v>382.395244</v>
      </c>
      <c r="D95" s="1" t="s">
        <v>388</v>
      </c>
      <c r="E95" s="1" t="s">
        <v>389</v>
      </c>
      <c r="F95" s="1" t="s">
        <v>44</v>
      </c>
      <c r="G95" s="1" t="s">
        <v>45</v>
      </c>
      <c r="H95" s="1">
        <v>8</v>
      </c>
      <c r="I95" s="1">
        <v>64</v>
      </c>
      <c r="J95" s="1">
        <v>64</v>
      </c>
      <c r="K95" s="1">
        <v>100</v>
      </c>
      <c r="L95" s="1">
        <v>51</v>
      </c>
      <c r="M95" s="1">
        <v>79.6875</v>
      </c>
      <c r="N95" s="1">
        <v>51</v>
      </c>
      <c r="O95" s="1">
        <v>79.6875</v>
      </c>
      <c r="P95" s="1">
        <v>-4.89886274509804</v>
      </c>
      <c r="Q95" s="1">
        <f t="shared" si="2"/>
        <v>-249.842</v>
      </c>
      <c r="R95" s="1">
        <v>-4.785</v>
      </c>
      <c r="S95" s="1">
        <v>-6.307</v>
      </c>
      <c r="T95" s="1">
        <v>-3.834</v>
      </c>
      <c r="U95" s="1">
        <v>-3.42303921568627</v>
      </c>
      <c r="V95" s="1">
        <v>-3.415</v>
      </c>
      <c r="W95" s="1">
        <v>-3.78333333333333</v>
      </c>
      <c r="X95" s="1">
        <v>-3.819</v>
      </c>
      <c r="Y95" s="1">
        <v>0.422861987681457</v>
      </c>
      <c r="Z95" s="1">
        <v>0.410149363481646</v>
      </c>
      <c r="AA95" s="1">
        <v>0.644375</v>
      </c>
      <c r="AB95" s="1">
        <v>0.63</v>
      </c>
      <c r="AC95" s="1">
        <v>0.258697232986784</v>
      </c>
      <c r="AD95" s="1">
        <v>0.251288259133585</v>
      </c>
      <c r="AE95" s="1">
        <v>0.802045689725748</v>
      </c>
      <c r="AF95" s="1">
        <v>0.810064897717723</v>
      </c>
      <c r="AG95" s="1">
        <v>0.795898096686707</v>
      </c>
      <c r="AH95" s="1">
        <v>0.813622747839517</v>
      </c>
      <c r="AI95" s="1">
        <v>0.827035008212269</v>
      </c>
      <c r="AJ95" s="1" t="s">
        <v>49</v>
      </c>
      <c r="AK95" s="1">
        <v>0.814831118458341</v>
      </c>
      <c r="AL95" s="1">
        <v>0.808754175892957</v>
      </c>
      <c r="AM95" s="1">
        <v>0.504340464307652</v>
      </c>
      <c r="AN95" s="1">
        <v>0.734089883703229</v>
      </c>
      <c r="AO95" s="1">
        <v>94</v>
      </c>
    </row>
    <row r="96" s="1" customFormat="1" spans="1:41">
      <c r="A96" s="1" t="s">
        <v>390</v>
      </c>
      <c r="B96" s="1" t="s">
        <v>391</v>
      </c>
      <c r="C96" s="1">
        <v>959.345883</v>
      </c>
      <c r="D96" s="1" t="s">
        <v>392</v>
      </c>
      <c r="E96" s="1" t="s">
        <v>393</v>
      </c>
      <c r="F96" s="1" t="s">
        <v>44</v>
      </c>
      <c r="G96" s="1" t="s">
        <v>45</v>
      </c>
      <c r="H96" s="1">
        <v>8</v>
      </c>
      <c r="I96" s="1">
        <v>64</v>
      </c>
      <c r="J96" s="1">
        <v>64</v>
      </c>
      <c r="K96" s="1">
        <v>100</v>
      </c>
      <c r="L96" s="1">
        <v>41</v>
      </c>
      <c r="M96" s="1">
        <v>64.0625</v>
      </c>
      <c r="N96" s="1">
        <v>41</v>
      </c>
      <c r="O96" s="1">
        <v>64.0625</v>
      </c>
      <c r="P96" s="1">
        <v>-7.38921951219512</v>
      </c>
      <c r="Q96" s="1">
        <f t="shared" si="2"/>
        <v>-302.958</v>
      </c>
      <c r="R96" s="1">
        <v>-7.55</v>
      </c>
      <c r="S96" s="1">
        <v>-10.164</v>
      </c>
      <c r="T96" s="1">
        <v>-4.943</v>
      </c>
      <c r="U96" s="1">
        <v>-5.85709756097561</v>
      </c>
      <c r="V96" s="1">
        <v>-5.886</v>
      </c>
      <c r="W96" s="1">
        <v>-6.08243902439024</v>
      </c>
      <c r="X96" s="1">
        <v>-6.111</v>
      </c>
      <c r="Y96" s="1">
        <v>0.264023692625694</v>
      </c>
      <c r="Z96" s="1">
        <v>0.239213433302662</v>
      </c>
      <c r="AA96" s="1">
        <v>0.60484375</v>
      </c>
      <c r="AB96" s="1">
        <v>0.61</v>
      </c>
      <c r="AC96" s="1">
        <v>0.186448510212359</v>
      </c>
      <c r="AD96" s="1">
        <v>0.182330926859438</v>
      </c>
      <c r="AE96" s="1">
        <v>0.743426137078758</v>
      </c>
      <c r="AF96" s="1">
        <v>0.801892551658158</v>
      </c>
      <c r="AG96" s="1">
        <v>0.823087904094566</v>
      </c>
      <c r="AH96" s="1">
        <v>0.784700684895781</v>
      </c>
      <c r="AI96" s="1">
        <v>0.824604215150448</v>
      </c>
      <c r="AJ96" s="1">
        <v>0.780864017238478</v>
      </c>
      <c r="AK96" s="1">
        <v>0.813946467457168</v>
      </c>
      <c r="AL96" s="1">
        <v>0.797584987453557</v>
      </c>
      <c r="AM96" s="1">
        <v>0.317305211446266</v>
      </c>
      <c r="AN96" s="1">
        <v>0.649202302193227</v>
      </c>
      <c r="AO96" s="1">
        <v>95</v>
      </c>
    </row>
    <row r="97" s="1" customFormat="1" spans="1:41">
      <c r="A97" s="1" t="s">
        <v>394</v>
      </c>
      <c r="B97" s="1" t="s">
        <v>395</v>
      </c>
      <c r="C97" s="1">
        <v>723.25459</v>
      </c>
      <c r="D97" s="1" t="s">
        <v>396</v>
      </c>
      <c r="E97" s="1" t="s">
        <v>397</v>
      </c>
      <c r="F97" s="1" t="s">
        <v>44</v>
      </c>
      <c r="G97" s="1" t="s">
        <v>45</v>
      </c>
      <c r="H97" s="1">
        <v>8</v>
      </c>
      <c r="I97" s="1">
        <v>64</v>
      </c>
      <c r="J97" s="1">
        <v>64</v>
      </c>
      <c r="K97" s="1">
        <v>100</v>
      </c>
      <c r="L97" s="1">
        <v>48</v>
      </c>
      <c r="M97" s="1">
        <v>75</v>
      </c>
      <c r="N97" s="1">
        <v>48</v>
      </c>
      <c r="O97" s="1">
        <v>75</v>
      </c>
      <c r="P97" s="1">
        <v>-8.01816666666667</v>
      </c>
      <c r="Q97" s="1">
        <f t="shared" si="2"/>
        <v>-384.872</v>
      </c>
      <c r="R97" s="1">
        <v>-8.2865</v>
      </c>
      <c r="S97" s="1">
        <v>-10.868</v>
      </c>
      <c r="T97" s="1">
        <v>-5.102</v>
      </c>
      <c r="U97" s="1">
        <v>-4.47245833333333</v>
      </c>
      <c r="V97" s="1">
        <v>-4.4235</v>
      </c>
      <c r="W97" s="1">
        <v>-4.87077083333333</v>
      </c>
      <c r="X97" s="1">
        <v>-4.878</v>
      </c>
      <c r="Y97" s="1">
        <v>0.352924860075862</v>
      </c>
      <c r="Z97" s="1">
        <v>0.328669189435231</v>
      </c>
      <c r="AA97" s="1">
        <v>0.65203125</v>
      </c>
      <c r="AB97" s="1">
        <v>0.64</v>
      </c>
      <c r="AC97" s="1">
        <v>0.218285819237244</v>
      </c>
      <c r="AD97" s="1">
        <v>0.206976735817218</v>
      </c>
      <c r="AE97" s="1">
        <v>0.742116833410178</v>
      </c>
      <c r="AF97" s="1">
        <v>0.805622448053874</v>
      </c>
      <c r="AG97" s="1">
        <v>0.764506708334157</v>
      </c>
      <c r="AH97" s="1">
        <v>0.805794147858214</v>
      </c>
      <c r="AI97" s="1">
        <v>0.823585650740333</v>
      </c>
      <c r="AJ97" s="1" t="s">
        <v>49</v>
      </c>
      <c r="AK97" s="1">
        <v>0.811427967346744</v>
      </c>
      <c r="AL97" s="1">
        <v>0.80568968879289</v>
      </c>
      <c r="AM97" s="1">
        <v>0.328505518598322</v>
      </c>
      <c r="AN97" s="1">
        <v>0.629857213991661</v>
      </c>
      <c r="AO97" s="1">
        <v>97</v>
      </c>
    </row>
    <row r="98" s="1" customFormat="1" spans="1:41">
      <c r="A98" s="1" t="s">
        <v>398</v>
      </c>
      <c r="B98" s="1" t="s">
        <v>399</v>
      </c>
      <c r="C98" s="1">
        <v>943.2549</v>
      </c>
      <c r="D98" s="1" t="s">
        <v>400</v>
      </c>
      <c r="E98" s="1" t="s">
        <v>401</v>
      </c>
      <c r="F98" s="1" t="s">
        <v>44</v>
      </c>
      <c r="G98" s="1" t="s">
        <v>45</v>
      </c>
      <c r="H98" s="1">
        <v>8</v>
      </c>
      <c r="I98" s="1">
        <v>64</v>
      </c>
      <c r="J98" s="1">
        <v>64</v>
      </c>
      <c r="K98" s="1">
        <v>100</v>
      </c>
      <c r="L98" s="1">
        <v>51</v>
      </c>
      <c r="M98" s="1">
        <v>79.6875</v>
      </c>
      <c r="N98" s="1">
        <v>51</v>
      </c>
      <c r="O98" s="1">
        <v>79.6875</v>
      </c>
      <c r="P98" s="1">
        <v>-9.09441176470588</v>
      </c>
      <c r="Q98" s="1">
        <f t="shared" si="2"/>
        <v>-463.815</v>
      </c>
      <c r="R98" s="1">
        <v>-9.123</v>
      </c>
      <c r="S98" s="1">
        <v>-13.056</v>
      </c>
      <c r="T98" s="1">
        <v>-5.055</v>
      </c>
      <c r="U98" s="1">
        <v>-7.48803921568628</v>
      </c>
      <c r="V98" s="1">
        <v>-7.451</v>
      </c>
      <c r="W98" s="1">
        <v>-7.64511764705882</v>
      </c>
      <c r="X98" s="1">
        <v>-7.553</v>
      </c>
      <c r="Y98" s="1">
        <v>0.268331828705497</v>
      </c>
      <c r="Z98" s="1">
        <v>0.221684958989584</v>
      </c>
      <c r="AA98" s="1">
        <v>0.5996875</v>
      </c>
      <c r="AB98" s="1">
        <v>0.6</v>
      </c>
      <c r="AC98" s="1">
        <v>0.255739997204834</v>
      </c>
      <c r="AD98" s="1">
        <v>0.279661966237814</v>
      </c>
      <c r="AE98" s="1">
        <v>0.743030192740902</v>
      </c>
      <c r="AF98" s="1">
        <v>0.800705810231231</v>
      </c>
      <c r="AG98" s="1">
        <v>0.825207718921469</v>
      </c>
      <c r="AH98" s="1">
        <v>0.790583280726211</v>
      </c>
      <c r="AI98" s="1">
        <v>0.812726149349619</v>
      </c>
      <c r="AJ98" s="1">
        <v>0.806647775211267</v>
      </c>
      <c r="AK98" s="1">
        <v>0.813601243664045</v>
      </c>
      <c r="AL98" s="1">
        <v>0.813031212746292</v>
      </c>
      <c r="AM98" s="1">
        <v>0.325121023343027</v>
      </c>
      <c r="AN98" s="1">
        <v>0.629840066204784</v>
      </c>
      <c r="AO98" s="1">
        <v>98</v>
      </c>
    </row>
    <row r="99" s="1" customFormat="1" spans="1:41">
      <c r="A99" s="1" t="s">
        <v>402</v>
      </c>
      <c r="B99" s="1" t="s">
        <v>403</v>
      </c>
      <c r="C99" s="1">
        <v>533.382991</v>
      </c>
      <c r="D99" s="1" t="s">
        <v>404</v>
      </c>
      <c r="E99" s="1" t="s">
        <v>405</v>
      </c>
      <c r="F99" s="1" t="s">
        <v>44</v>
      </c>
      <c r="G99" s="1" t="s">
        <v>45</v>
      </c>
      <c r="H99" s="1">
        <v>8</v>
      </c>
      <c r="I99" s="1">
        <v>64</v>
      </c>
      <c r="J99" s="1">
        <v>64</v>
      </c>
      <c r="K99" s="1">
        <v>100</v>
      </c>
      <c r="L99" s="1">
        <v>46</v>
      </c>
      <c r="M99" s="1">
        <v>71.875</v>
      </c>
      <c r="N99" s="1">
        <v>46</v>
      </c>
      <c r="O99" s="1">
        <v>71.875</v>
      </c>
      <c r="P99" s="1">
        <v>-7.3929347826087</v>
      </c>
      <c r="Q99" s="1">
        <f>PRODUCT(N99,P99)</f>
        <v>-340.075</v>
      </c>
      <c r="R99" s="1">
        <v>-7.2945</v>
      </c>
      <c r="S99" s="1">
        <v>-10.408</v>
      </c>
      <c r="T99" s="1">
        <v>-5.338</v>
      </c>
      <c r="U99" s="1">
        <v>-5.37765217391304</v>
      </c>
      <c r="V99" s="1">
        <v>-5.2335</v>
      </c>
      <c r="W99" s="1">
        <v>-5.91619565217391</v>
      </c>
      <c r="X99" s="1">
        <v>-5.69</v>
      </c>
      <c r="Y99" s="1">
        <v>0.414500704461263</v>
      </c>
      <c r="Z99" s="1">
        <v>0.406383095040999</v>
      </c>
      <c r="AA99" s="1">
        <v>0.6634375</v>
      </c>
      <c r="AB99" s="1">
        <v>0.655</v>
      </c>
      <c r="AC99" s="1">
        <v>0.185360635722182</v>
      </c>
      <c r="AD99" s="1">
        <v>0.165388410466071</v>
      </c>
      <c r="AE99" s="1">
        <v>0.762402025752211</v>
      </c>
      <c r="AF99" s="1">
        <v>0.811723161244104</v>
      </c>
      <c r="AG99" s="1">
        <v>0.787236697040106</v>
      </c>
      <c r="AH99" s="1">
        <v>0.797865387610751</v>
      </c>
      <c r="AI99" s="1">
        <v>0.817889181465744</v>
      </c>
      <c r="AJ99" s="1">
        <v>0.76015417614009</v>
      </c>
      <c r="AK99" s="1">
        <v>0.801566430856368</v>
      </c>
      <c r="AL99" s="1">
        <v>0.807816109261237</v>
      </c>
      <c r="AM99" s="1">
        <v>0.37589187385699</v>
      </c>
      <c r="AN99" s="1">
        <v>0.663013840441723</v>
      </c>
      <c r="AO99" s="1">
        <v>99</v>
      </c>
    </row>
    <row r="100" spans="1:41">
      <c r="I100">
        <f>SUM(I2:I99)</f>
        <v>6272</v>
      </c>
      <c r="L100">
        <f>SUM(L2:L99)</f>
        <v>3902</v>
      </c>
      <c r="Q100">
        <f>SUM(Q2:Q99)</f>
        <v>-29974.672</v>
      </c>
    </row>
    <row r="101" spans="1:41">
      <c r="Q101">
        <v>-7.68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叶行健</cp:lastModifiedBy>
  <dcterms:created xsi:type="dcterms:W3CDTF">2023-05-12T11:15:00Z</dcterms:created>
  <dcterms:modified xsi:type="dcterms:W3CDTF">2025-12-13T04:41:50Z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EED773DF1BA14A35A2145CE84DC1D1CF_12</vt:lpwstr>
  </property>
  <property fmtid="{D5CDD505-2E9C-101B-9397-08002B2CF9AE}" pid="4" name="CalculationRule">
    <vt:i4>0</vt:i4>
  </property>
</Properties>
</file>