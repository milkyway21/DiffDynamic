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<sst xmlns="http://schemas.openxmlformats.org/spreadsheetml/2006/main" count="667" uniqueCount="405">
  <si>
    <t>评估开始时间</t>
  </si>
  <si>
    <t>评估结束时间</t>
  </si>
  <si>
    <t>评估耗时(秒)</t>
  </si>
  <si>
    <t>PT文件</t>
  </si>
  <si>
    <t>配体文件</t>
  </si>
  <si>
    <t>蛋白根目录</t>
  </si>
  <si>
    <t>原子编码模式</t>
  </si>
  <si>
    <t>对接强度</t>
  </si>
  <si>
    <t>总样本数</t>
  </si>
  <si>
    <t>重建成功数</t>
  </si>
  <si>
    <t>重建成功率(%)</t>
  </si>
  <si>
    <t>评估成功数</t>
  </si>
  <si>
    <t>评估成功率(%)</t>
  </si>
  <si>
    <t>完整分子数</t>
  </si>
  <si>
    <t>完整分子率(%)</t>
  </si>
  <si>
    <t>Vina_Dock_均值</t>
  </si>
  <si>
    <t>Vina_Dock_中位数</t>
  </si>
  <si>
    <t>Vina_Dock_最小值</t>
  </si>
  <si>
    <t>Vina_Dock_最大值</t>
  </si>
  <si>
    <t>Vina_ScoreOnly_均值</t>
  </si>
  <si>
    <t>Vina_ScoreOnly_中位数</t>
  </si>
  <si>
    <t>Vina_Minimize_均值</t>
  </si>
  <si>
    <t>Vina_Minimize_中位数</t>
  </si>
  <si>
    <t>QED_均值</t>
  </si>
  <si>
    <t>QED_中位数</t>
  </si>
  <si>
    <t>SA_均值</t>
  </si>
  <si>
    <t>SA_中位数</t>
  </si>
  <si>
    <t>原子类型分布JSD_均值</t>
  </si>
  <si>
    <t>原子类型分布JSD_中位数</t>
  </si>
  <si>
    <t>键长JSD_JSD_6-6|1_均值</t>
  </si>
  <si>
    <t>键长JSD_JSD_6-6|2_均值</t>
  </si>
  <si>
    <t>键长JSD_JSD_6-6|4_均值</t>
  </si>
  <si>
    <t>键长JSD_JSD_6-7|1_均值</t>
  </si>
  <si>
    <t>键长JSD_JSD_6-7|2_均值</t>
  </si>
  <si>
    <t>键长JSD_JSD_6-7|4_均值</t>
  </si>
  <si>
    <t>键长JSD_JSD_6-8|1_均值</t>
  </si>
  <si>
    <t>键长JSD_JSD_6-8|2_均值</t>
  </si>
  <si>
    <t>原子对距离JSD_JSD_All_12A_均值</t>
  </si>
  <si>
    <t>原子对距离JSD_JSD_CC_2A_均值</t>
  </si>
  <si>
    <t>数据ID</t>
  </si>
  <si>
    <t>2025-12-11 22:14:15</t>
  </si>
  <si>
    <t>2025-12-11 22:35:53</t>
  </si>
  <si>
    <t>result_0_20251211_215457.pt</t>
  </si>
  <si>
    <t>2z3h_A_rec_1wn6_bst_lig_tt_docked_3.sdf</t>
  </si>
  <si>
    <t>data/crossdocked_v1.1_rmsd1.0_pocket10</t>
  </si>
  <si>
    <t>add_aromatic</t>
  </si>
  <si>
    <t/>
  </si>
  <si>
    <t>2025-12-11 22:19:53</t>
  </si>
  <si>
    <t>result_1_20251211_215558.pt</t>
  </si>
  <si>
    <t>4aaw_A_rec_4ac3_r83_lig_tt_min_0.sdf</t>
  </si>
  <si>
    <t>2025-12-11 22:34:30</t>
  </si>
  <si>
    <t>result_10_20251211_215456.pt</t>
  </si>
  <si>
    <t>3dzh_A_rec_3u4i_cvr_lig_tt_docked_0.sdf</t>
  </si>
  <si>
    <t>2025-12-11 22:34:31</t>
  </si>
  <si>
    <t>result_11_20251211_215554.pt</t>
  </si>
  <si>
    <t>3g51_A_rec_3g51_anp_lig_tt_min_0.sdf</t>
  </si>
  <si>
    <t>2025-12-11 22:38:23</t>
  </si>
  <si>
    <t>result_13_20251211_215756.pt</t>
  </si>
  <si>
    <t>2jjg_A_rec_2jjg_plp_lig_tt_min_0.sdf</t>
  </si>
  <si>
    <t>2025-12-11 22:20:04</t>
  </si>
  <si>
    <t>result_14_20251211_215855.pt</t>
  </si>
  <si>
    <t>2rhy_A_rec_2rhy_mlz_lig_tt_min_0.sdf</t>
  </si>
  <si>
    <t>2025-12-11 22:26:37</t>
  </si>
  <si>
    <t>result_15_20251211_215452.pt</t>
  </si>
  <si>
    <t>2pqw_A_rec_2rhy_mlz_lig_tt_min_0.sdf</t>
  </si>
  <si>
    <t>2025-12-11 22:35:25</t>
  </si>
  <si>
    <t>result_16_20251211_215557.pt</t>
  </si>
  <si>
    <t>4g3d_B_rec_4idv_13v_lig_tt_min_0.sdf</t>
  </si>
  <si>
    <t>2025-12-11 22:28:36</t>
  </si>
  <si>
    <t>result_17_20251211_215656.pt</t>
  </si>
  <si>
    <t>5bur_A_rec_5x8f_amp_lig_tt_docked_7.sdf</t>
  </si>
  <si>
    <t>2025-12-11 22:25:11</t>
  </si>
  <si>
    <t>result_18_20251211_215756.pt</t>
  </si>
  <si>
    <t>3gs6_A_rec_2oxn_oan_lig_tt_docked_4.sdf</t>
  </si>
  <si>
    <t>2025-12-11 22:36:21</t>
  </si>
  <si>
    <t>result_19_20251211_215855.pt</t>
  </si>
  <si>
    <t>1r1h_A_rec_1r1h_bir_lig_tt_docked_1.sdf</t>
  </si>
  <si>
    <t>2025-12-11 22:33:53</t>
  </si>
  <si>
    <t>result_2_20251211_215700.pt</t>
  </si>
  <si>
    <t>4yhj_A_rec_4yhj_an2_lig_tt_min_0.sdf</t>
  </si>
  <si>
    <t>2025-12-11 22:28:37</t>
  </si>
  <si>
    <t>result_20_20251211_215453.pt</t>
  </si>
  <si>
    <t>1dxo_C_rec_1gg5_e09_lig_tt_min_0.sdf</t>
  </si>
  <si>
    <t>2025-12-11 22:34:17</t>
  </si>
  <si>
    <t>result_21_20251211_215553.pt</t>
  </si>
  <si>
    <t>1gg5_A_rec_1kbo_340_lig_tt_min_0.sdf</t>
  </si>
  <si>
    <t>2025-12-11 22:45:56</t>
  </si>
  <si>
    <t>result_22_20251211_215656.pt</t>
  </si>
  <si>
    <t>5q0k_A_rec_5q0q_9ld_lig_tt_docked_0.sdf</t>
  </si>
  <si>
    <t>2025-12-11 22:23:10</t>
  </si>
  <si>
    <t>result_23_20251211_215753.pt</t>
  </si>
  <si>
    <t>5b08_A_rec_5b09_4mx_lig_tt_min_0.sdf</t>
  </si>
  <si>
    <t>2025-12-11 22:36:01</t>
  </si>
  <si>
    <t>result_24_20251211_215853.pt</t>
  </si>
  <si>
    <t>2azy_A_rec_2azy_chd_lig_tt_docked_0.sdf</t>
  </si>
  <si>
    <t>2025-12-11 22:22:00</t>
  </si>
  <si>
    <t>result_3_20251211_215756.pt</t>
  </si>
  <si>
    <t>14gs_A_rec_20gs_cbd_lig_tt_min_0.sdf</t>
  </si>
  <si>
    <t>2025-12-11 22:40:05</t>
  </si>
  <si>
    <t>result_4_20251211_215900.pt</t>
  </si>
  <si>
    <t>2v3r_A_rec_1dy4_snp_lig_tt_docked_1.sdf</t>
  </si>
  <si>
    <t>2025-12-11 22:20:35</t>
  </si>
  <si>
    <t>result_5_20251211_215456.pt</t>
  </si>
  <si>
    <t>4rn0_B_rec_4rn1_l8g_lig_tt_min_0.sdf</t>
  </si>
  <si>
    <t>2025-12-11 22:35:08</t>
  </si>
  <si>
    <t>result_6_20251211_215557.pt</t>
  </si>
  <si>
    <t>1fmc_B_rec_1fmc_cho_lig_tt_docked_1.sdf</t>
  </si>
  <si>
    <t>2025-12-11 22:45:26</t>
  </si>
  <si>
    <t>result_7_20251211_215658.pt</t>
  </si>
  <si>
    <t>3daf_A_rec_3daf_feg_lig_tt_docked_0.sdf</t>
  </si>
  <si>
    <t>2025-12-11 22:27:45</t>
  </si>
  <si>
    <t>result_8_20251211_215801.pt</t>
  </si>
  <si>
    <t>1a2g_A_rec_4jmv_1ly_lig_tt_min_0.sdf</t>
  </si>
  <si>
    <t>2025-12-11 22:47:04</t>
  </si>
  <si>
    <t>result_9_20251211_215901.pt</t>
  </si>
  <si>
    <t>5w2g_A_rec_5w2i_adp_lig_tt_min_0.sdf</t>
  </si>
  <si>
    <t>2025-12-11 22:20:02</t>
  </si>
  <si>
    <t>2025-12-11 22:34:52</t>
  </si>
  <si>
    <t>result_25_20251211_215456.pt</t>
  </si>
  <si>
    <t>5i0b_A_rec_5vef_m77_lig_tt_min_0.sdf</t>
  </si>
  <si>
    <t>2025-12-11 22:20:12</t>
  </si>
  <si>
    <t>2025-12-11 22:53:02</t>
  </si>
  <si>
    <t>result_26_20251211_215556.pt</t>
  </si>
  <si>
    <t>1phk_A_rec_1phk_atp_lig_tt_min_0.sdf</t>
  </si>
  <si>
    <t>2025-12-11 22:20:42</t>
  </si>
  <si>
    <t>2025-12-11 22:46:06</t>
  </si>
  <si>
    <t>result_27_20251211_215657.pt</t>
  </si>
  <si>
    <t>4keu_A_rec_4ket_pg4_lig_tt_min_0.sdf</t>
  </si>
  <si>
    <t>2025-12-11 22:22:09</t>
  </si>
  <si>
    <t>2025-12-11 22:34:27</t>
  </si>
  <si>
    <t>result_28_20251211_215753.pt</t>
  </si>
  <si>
    <t>4q8b_B_rec_4q8b_sxx_lig_tt_min_0.sdf</t>
  </si>
  <si>
    <t>2025-12-11 22:23:22</t>
  </si>
  <si>
    <t>2025-12-11 22:37:04</t>
  </si>
  <si>
    <t>result_29_20251211_215849.pt</t>
  </si>
  <si>
    <t>1djy_A_rec_1djz_ip2_lig_tt_min_0.sdf</t>
  </si>
  <si>
    <t>2025-12-11 22:25:20</t>
  </si>
  <si>
    <t>2025-12-11 22:43:26</t>
  </si>
  <si>
    <t>result_30_20251211_215950.pt</t>
  </si>
  <si>
    <t>5l1v_A_rec_5l1v_7pf_lig_tt_docked_0.sdf</t>
  </si>
  <si>
    <t>2025-12-11 22:26:47</t>
  </si>
  <si>
    <t>2025-12-11 23:07:53</t>
  </si>
  <si>
    <t>result_31_20251211_220052.pt</t>
  </si>
  <si>
    <t>4zfa_A_rec_1smj_pam_lig_tt_min_0.sdf</t>
  </si>
  <si>
    <t>2025-12-11 22:27:54</t>
  </si>
  <si>
    <t>2025-12-11 22:54:38</t>
  </si>
  <si>
    <t>result_32_20251211_220151.pt</t>
  </si>
  <si>
    <t>2rma_A_rec_3rdd_ea4_lig_tt_docked_0.sdf</t>
  </si>
  <si>
    <t>2025-12-11 22:28:45</t>
  </si>
  <si>
    <t>2025-12-11 22:49:40</t>
  </si>
  <si>
    <t>result_33_20251211_220252.pt</t>
  </si>
  <si>
    <t>3b6h_A_rec_3b6h_mxd_lig_tt_min_0.sdf</t>
  </si>
  <si>
    <t>2025-12-11 22:37:32</t>
  </si>
  <si>
    <t>result_34_20251211_220350.pt</t>
  </si>
  <si>
    <t>2zen_A_rec_2afx_1bn_lig_tt_docked_7.sdf</t>
  </si>
  <si>
    <t>2025-12-11 22:34:02</t>
  </si>
  <si>
    <t>2025-12-11 22:43:23</t>
  </si>
  <si>
    <t>result_35_20251211_215953.pt</t>
  </si>
  <si>
    <t>4p6p_A_rec_4p77_5rp_lig_tt_docked_0.sdf</t>
  </si>
  <si>
    <t>2025-12-11 22:34:25</t>
  </si>
  <si>
    <t>2025-12-11 23:12:44</t>
  </si>
  <si>
    <t>result_36_20251211_220055.pt</t>
  </si>
  <si>
    <t>3u5y_B_rec_3u57_dh8_lig_tt_min_0.sdf</t>
  </si>
  <si>
    <t>2025-12-11 22:34:34</t>
  </si>
  <si>
    <t>2025-12-11 23:01:02</t>
  </si>
  <si>
    <t>result_37_20251211_220157.pt</t>
  </si>
  <si>
    <t>4f1m_A_rec_4f1m_acp_lig_tt_min_0.sdf</t>
  </si>
  <si>
    <t>2025-12-11 22:34:38</t>
  </si>
  <si>
    <t>2025-12-11 22:44:53</t>
  </si>
  <si>
    <t>result_38_20251211_220252.pt</t>
  </si>
  <si>
    <t>4tqr_A_rec_2xca_doc_lig_tt_min_0.sdf</t>
  </si>
  <si>
    <t>2025-12-11 22:34:58</t>
  </si>
  <si>
    <t>2025-12-11 22:57:25</t>
  </si>
  <si>
    <t>result_39_20251211_220350.pt</t>
  </si>
  <si>
    <t>4lfu_A_rec_4y13_480_lig_tt_min_0.sdf</t>
  </si>
  <si>
    <t>2025-12-11 22:50:28</t>
  </si>
  <si>
    <t>result_40_20251211_215953.pt</t>
  </si>
  <si>
    <t>3jyh_A_rec_3n0t_opy_lig_tt_min_0.sdf</t>
  </si>
  <si>
    <t>2025-12-11 22:35:15</t>
  </si>
  <si>
    <t>2025-12-11 23:25:00</t>
  </si>
  <si>
    <t>result_41_20251211_220054.pt</t>
  </si>
  <si>
    <t>4iwq_A_rec_4jlc_su6_lig_tt_min_0.sdf</t>
  </si>
  <si>
    <t>2025-12-11 22:35:33</t>
  </si>
  <si>
    <t>2025-12-11 22:52:50</t>
  </si>
  <si>
    <t>result_42_20251211_220158.pt</t>
  </si>
  <si>
    <t>1l3l_A_rec_1l3l_lae_lig_tt_min_0.sdf</t>
  </si>
  <si>
    <t>2025-12-11 22:35:39</t>
  </si>
  <si>
    <t>2025-12-11 22:42:38</t>
  </si>
  <si>
    <t>result_43_20251211_220256.pt</t>
  </si>
  <si>
    <t>5ngz_A_rec_5ngz_2bg_lig_tt_min_0.sdf</t>
  </si>
  <si>
    <t>2025-12-11 23:03:51</t>
  </si>
  <si>
    <t>result_44_20251211_220355.pt</t>
  </si>
  <si>
    <t>1e8h_A_rec_1e8h_adp_lig_tt_min_0.sdf</t>
  </si>
  <si>
    <t>2025-12-11 22:36:08</t>
  </si>
  <si>
    <t>2025-12-11 22:52:46</t>
  </si>
  <si>
    <t>result_45_20251211_215954.pt</t>
  </si>
  <si>
    <t>2e24_A_rec_1j0n_ceg_lig_tt_docked_14.sdf</t>
  </si>
  <si>
    <t>2025-12-11 22:36:27</t>
  </si>
  <si>
    <t>2025-12-11 22:44:59</t>
  </si>
  <si>
    <t>result_46_20251211_220050.pt</t>
  </si>
  <si>
    <t>2hcj_B_rec_2hcj_gdp_lig_tt_docked_0.sdf</t>
  </si>
  <si>
    <t>2025-12-11 22:37:11</t>
  </si>
  <si>
    <t>2025-12-11 22:46:34</t>
  </si>
  <si>
    <t>result_47_20251211_220149.pt</t>
  </si>
  <si>
    <t>3kc1_A_rec_3kc1_2t6_lig_tt_min_0.sdf</t>
  </si>
  <si>
    <t>2025-12-11 22:37:40</t>
  </si>
  <si>
    <t>2025-12-11 22:49:19</t>
  </si>
  <si>
    <t>result_48_20251211_220251.pt</t>
  </si>
  <si>
    <t>1d7j_A_rec_1tco_fk5_lig_tt_docked_0.sdf</t>
  </si>
  <si>
    <t>2025-12-11 22:38:30</t>
  </si>
  <si>
    <t>2025-12-11 22:52:00</t>
  </si>
  <si>
    <t>result_49_20251211_220351.pt</t>
  </si>
  <si>
    <t>4ja8_B_rec_4ja8_1k9_lig_tt_docked_0.sdf</t>
  </si>
  <si>
    <t>2025-12-11 22:40:13</t>
  </si>
  <si>
    <t>2025-12-11 22:52:05</t>
  </si>
  <si>
    <t>result_50_20251211_215957.pt</t>
  </si>
  <si>
    <t>4u5s_A_rec_4u54_3c5_lig_tt_min_0.sdf</t>
  </si>
  <si>
    <t>2025-12-11 22:42:56</t>
  </si>
  <si>
    <t>2025-12-11 23:11:13</t>
  </si>
  <si>
    <t>result_51_20251211_220057.pt</t>
  </si>
  <si>
    <t>4iiy_A_rec_3tle_gsu_lig_tt_docked_12.sdf</t>
  </si>
  <si>
    <t>2025-12-11 22:43:32</t>
  </si>
  <si>
    <t>2025-12-11 23:12:26</t>
  </si>
  <si>
    <t>result_52_20251211_220156.pt</t>
  </si>
  <si>
    <t>3v4t_A_rec_4e7f_udp_lig_tt_min_0.sdf</t>
  </si>
  <si>
    <t>2025-12-11 22:43:33</t>
  </si>
  <si>
    <t>2025-12-11 23:09:56</t>
  </si>
  <si>
    <t>result_53_20251211_220301.pt</t>
  </si>
  <si>
    <t>3tym_A_rec_3n5v_xfh_lig_tt_min_0.sdf</t>
  </si>
  <si>
    <t>2025-12-11 22:45:03</t>
  </si>
  <si>
    <t>2025-12-11 23:12:50</t>
  </si>
  <si>
    <t>result_54_20251211_220403.pt</t>
  </si>
  <si>
    <t>4d7o_A_rec_3n5z_xfm_lig_tt_min_0.sdf</t>
  </si>
  <si>
    <t>2025-12-11 22:45:35</t>
  </si>
  <si>
    <t>2025-12-11 22:54:53</t>
  </si>
  <si>
    <t>result_55_20251211_220001.pt</t>
  </si>
  <si>
    <t>3ej8_A_rec_2nsi_itu_lig_tt_min_0.sdf</t>
  </si>
  <si>
    <t>2025-12-11 22:46:03</t>
  </si>
  <si>
    <t>2025-12-11 22:54:45</t>
  </si>
  <si>
    <t>result_56_20251211_220100.pt</t>
  </si>
  <si>
    <t>1rs9_A_rec_1dmk_itu_lig_tt_min_0.sdf</t>
  </si>
  <si>
    <t>2025-12-11 22:46:07</t>
  </si>
  <si>
    <t>2025-12-11 23:15:54</t>
  </si>
  <si>
    <t>result_57_20251211_220201.pt</t>
  </si>
  <si>
    <t>4kcq_A_rec_4cwv_hw8_lig_tt_min_0.sdf</t>
  </si>
  <si>
    <t>2025-12-11 22:46:14</t>
  </si>
  <si>
    <t>2025-12-11 22:57:55</t>
  </si>
  <si>
    <t>result_58_20251211_220304.pt</t>
  </si>
  <si>
    <t>3pdh_A_rec_4buz_ocz_lig_tt_min_0.sdf</t>
  </si>
  <si>
    <t>2025-12-11 22:46:43</t>
  </si>
  <si>
    <t>2025-12-11 23:08:51</t>
  </si>
  <si>
    <t>result_59_20251211_220414.pt</t>
  </si>
  <si>
    <t>1umd_B_rec_1umb_tdp_lig_tt_docked_1.sdf</t>
  </si>
  <si>
    <t>2025-12-11 22:47:11</t>
  </si>
  <si>
    <t>2025-12-11 23:30:06</t>
  </si>
  <si>
    <t>result_60_20251211_220456.pt</t>
  </si>
  <si>
    <t>4pxz_A_rec_4pxz_6ad_lig_tt_min_0.sdf</t>
  </si>
  <si>
    <t>2025-12-11 22:49:29</t>
  </si>
  <si>
    <t>2025-12-11 22:53:58</t>
  </si>
  <si>
    <t>result_61_20251211_220559.pt</t>
  </si>
  <si>
    <t>2gns_A_rec_4qer_stl_lig_tt_min_0.sdf</t>
  </si>
  <si>
    <t>2025-12-11 22:49:48</t>
  </si>
  <si>
    <t>2025-12-11 23:02:09</t>
  </si>
  <si>
    <t>result_62_20251211_220720.pt</t>
  </si>
  <si>
    <t>1ai4_A_rec_1ai5_mnp_lig_tt_docked_0.sdf</t>
  </si>
  <si>
    <t>2025-12-11 22:50:36</t>
  </si>
  <si>
    <t>2025-12-11 23:05:22</t>
  </si>
  <si>
    <t>result_63_20251211_220832.pt</t>
  </si>
  <si>
    <t>5mma_A_rec_4ztf_x2p_lig_tt_min_0.sdf</t>
  </si>
  <si>
    <t>2025-12-11 22:52:08</t>
  </si>
  <si>
    <t>2025-12-11 23:05:50</t>
  </si>
  <si>
    <t>result_64_20251211_220929.pt</t>
  </si>
  <si>
    <t>2cy0_A_rec_2d5c_skm_lig_tt_min_0.sdf</t>
  </si>
  <si>
    <t>2025-12-11 22:52:55</t>
  </si>
  <si>
    <t>2025-12-11 23:06:26</t>
  </si>
  <si>
    <t>result_65_20251211_220457.pt</t>
  </si>
  <si>
    <t>3w83_B_rec_2e6d_fum_lig_tt_min_0.sdf</t>
  </si>
  <si>
    <t>2025-12-11 22:53:00</t>
  </si>
  <si>
    <t>2025-12-11 22:59:48</t>
  </si>
  <si>
    <t>result_66_20251211_220553.pt</t>
  </si>
  <si>
    <t>2e6d_A_rec_2e6d_fum_lig_tt_min_0.sdf</t>
  </si>
  <si>
    <t>2025-12-11 22:53:10</t>
  </si>
  <si>
    <t>2025-12-11 23:10:34</t>
  </si>
  <si>
    <t>result_67_20251211_220650.pt</t>
  </si>
  <si>
    <t>4rv4_A_rec_4rv4_prp_lig_tt_docked_2.sdf</t>
  </si>
  <si>
    <t>2025-12-11 22:53:13</t>
  </si>
  <si>
    <t>2025-12-11 23:16:09</t>
  </si>
  <si>
    <t>result_68_20251211_220802.pt</t>
  </si>
  <si>
    <t>5d7n_D_rec_4jt9_1ns_lig_tt_min_0.sdf</t>
  </si>
  <si>
    <t>2025-12-11 22:54:07</t>
  </si>
  <si>
    <t>2025-12-11 22:59:38</t>
  </si>
  <si>
    <t>result_69_20251211_220911.pt</t>
  </si>
  <si>
    <t>5mgl_A_rec_5mgl_7mu_lig_tt_min_0.sdf</t>
  </si>
  <si>
    <t>2025-12-11 22:54:46</t>
  </si>
  <si>
    <t>2025-12-11 23:18:24</t>
  </si>
  <si>
    <t>result_70_20251211_220453.pt</t>
  </si>
  <si>
    <t>1h36_A_rec_1o79_r23_lig_tt_docked_5.sdf</t>
  </si>
  <si>
    <t>2025-12-11 22:54:54</t>
  </si>
  <si>
    <t>2025-12-11 23:01:13</t>
  </si>
  <si>
    <t>result_71_20251211_220546.pt</t>
  </si>
  <si>
    <t>4gvd_A_rec_4nxr_ans_lig_tt_min_0.sdf</t>
  </si>
  <si>
    <t>2025-12-11 22:55:00</t>
  </si>
  <si>
    <t>2025-12-11 23:21:54</t>
  </si>
  <si>
    <t>result_72_20251211_220646.pt</t>
  </si>
  <si>
    <t>4tos_A_rec_4tos_355_lig_tt_min_0.sdf</t>
  </si>
  <si>
    <t>2025-12-11 22:57:33</t>
  </si>
  <si>
    <t>2025-12-11 23:10:29</t>
  </si>
  <si>
    <t>result_73_20251211_220746.pt</t>
  </si>
  <si>
    <t>5aeh_A_rec_5aeh_8ir_lig_tt_docked_0.sdf</t>
  </si>
  <si>
    <t>2025-12-11 22:58:03</t>
  </si>
  <si>
    <t>2025-12-11 23:11:22</t>
  </si>
  <si>
    <t>result_74_20251211_220850.pt</t>
  </si>
  <si>
    <t>4h3c_A_rec_5cqj_53q_lig_tt_docked_2.sdf</t>
  </si>
  <si>
    <t>2025-12-11 22:59:47</t>
  </si>
  <si>
    <t>2025-12-11 23:22:38</t>
  </si>
  <si>
    <t>result_75_20251211_220453.pt</t>
  </si>
  <si>
    <t>4rlu_A_rec_4rlu_hcc_lig_tt_min_0.sdf</t>
  </si>
  <si>
    <t>2025-12-11 22:59:56</t>
  </si>
  <si>
    <t>2025-12-11 23:18:34</t>
  </si>
  <si>
    <t>result_76_20251211_220553.pt</t>
  </si>
  <si>
    <t>4xli_B_rec_4xli_1n1_lig_tt_min_0.sdf</t>
  </si>
  <si>
    <t>2025-12-11 23:01:10</t>
  </si>
  <si>
    <t>2025-12-11 23:10:13</t>
  </si>
  <si>
    <t>result_77_20251211_220648.pt</t>
  </si>
  <si>
    <t>3l3n_A_rec_2iux_nxa_lig_tt_docked_2.sdf</t>
  </si>
  <si>
    <t>2025-12-11 23:01:21</t>
  </si>
  <si>
    <t>2025-12-11 23:12:16</t>
  </si>
  <si>
    <t>result_78_20251211_220745.pt</t>
  </si>
  <si>
    <t>5tjn_A_rec_1zj1_nlc_lig_tt_docked_4.sdf</t>
  </si>
  <si>
    <t>2025-12-11 23:02:17</t>
  </si>
  <si>
    <t>2025-12-11 23:22:53</t>
  </si>
  <si>
    <t>result_79_20251211_220849.pt</t>
  </si>
  <si>
    <t>5liu_X_rec_4gq0_qap_lig_tt_min_0.sdf</t>
  </si>
  <si>
    <t>2025-12-11 23:03:59</t>
  </si>
  <si>
    <t>2025-12-11 23:34:19</t>
  </si>
  <si>
    <t>result_80_20251211_220503.pt</t>
  </si>
  <si>
    <t>3o96_A_rec_3o96_iqo_lig_tt_docked_2.sdf</t>
  </si>
  <si>
    <t>2025-12-11 23:05:30</t>
  </si>
  <si>
    <t>2025-12-11 23:35:09</t>
  </si>
  <si>
    <t>result_81_20251211_220606.pt</t>
  </si>
  <si>
    <t>4qlk_A_rec_4qlk_ctt_lig_tt_docked_0.sdf</t>
  </si>
  <si>
    <t>2025-12-11 23:05:59</t>
  </si>
  <si>
    <t>2025-12-11 23:22:03</t>
  </si>
  <si>
    <t>result_82_20251211_220706.pt</t>
  </si>
  <si>
    <t>3hy9_B_rec_3hyg_099_lig_tt_min_0.sdf</t>
  </si>
  <si>
    <t>2025-12-11 23:06:33</t>
  </si>
  <si>
    <t>2025-12-11 23:43:41</t>
  </si>
  <si>
    <t>result_83_20251211_220806.pt</t>
  </si>
  <si>
    <t>4bel_A_rec_2ewy_dbo_lig_tt_min_0.sdf</t>
  </si>
  <si>
    <t>2025-12-11 23:08:02</t>
  </si>
  <si>
    <t>2025-12-11 23:22:42</t>
  </si>
  <si>
    <t>result_84_20251211_220910.pt</t>
  </si>
  <si>
    <t>3nfb_A_rec_3nfb_oae_lig_tt_docked_2.sdf</t>
  </si>
  <si>
    <t>2025-12-11 23:08:59</t>
  </si>
  <si>
    <t>2025-12-11 23:31:22</t>
  </si>
  <si>
    <t>result_85_20251211_220523.pt</t>
  </si>
  <si>
    <t>4m7t_A_rec_4m7t_sam_lig_tt_min_0.sdf</t>
  </si>
  <si>
    <t>2025-12-11 23:10:05</t>
  </si>
  <si>
    <t>2025-12-11 23:24:38</t>
  </si>
  <si>
    <t>result_86_20251211_220635.pt</t>
  </si>
  <si>
    <t>3u9f_C_rec_3u9f_clm_lig_tt_min_0.sdf</t>
  </si>
  <si>
    <t>2025-12-11 23:10:22</t>
  </si>
  <si>
    <t>2025-12-11 23:22:07</t>
  </si>
  <si>
    <t>result_87_20251211_220738.pt</t>
  </si>
  <si>
    <t>4aua_A_rec_4aua_4au_lig_it2_tt_docked_7.sdf</t>
  </si>
  <si>
    <t>2025-12-11 23:10:38</t>
  </si>
  <si>
    <t>2025-12-11 23:24:51</t>
  </si>
  <si>
    <t>result_88_20251211_220836.pt</t>
  </si>
  <si>
    <t>2f2c_B_rec_1xo2_fse_lig_tt_min_0.sdf</t>
  </si>
  <si>
    <t>2025-12-11 23:11:21</t>
  </si>
  <si>
    <t>2025-12-11 23:23:57</t>
  </si>
  <si>
    <t>result_89_20251211_221000.pt</t>
  </si>
  <si>
    <t>3chc_B_rec_3ch9_xrg_lig_tt_min_0.sdf</t>
  </si>
  <si>
    <t>2025-12-11 23:11:30</t>
  </si>
  <si>
    <t>2025-12-11 23:18:03</t>
  </si>
  <si>
    <t>result_90_20251211_220950.pt</t>
  </si>
  <si>
    <t>1k9t_A_rec_2wlz_dio_lig_tt_min_0.sdf</t>
  </si>
  <si>
    <t>2025-12-11 23:12:25</t>
  </si>
  <si>
    <t>2025-12-11 23:39:39</t>
  </si>
  <si>
    <t>result_92_20251211_221150.pt</t>
  </si>
  <si>
    <t>4z2g_A_rec_4z2g_m6v_lig_tt_docked_16.sdf</t>
  </si>
  <si>
    <t>2025-12-11 23:12:35</t>
  </si>
  <si>
    <t>2025-12-11 23:25:47</t>
  </si>
  <si>
    <t>result_93_20251211_221250.pt</t>
  </si>
  <si>
    <t>3af2_A_rec_3af4_gcp_lig_tt_min_0.sdf</t>
  </si>
  <si>
    <t>2025-12-11 23:12:53</t>
  </si>
  <si>
    <t>2025-12-11 23:19:22</t>
  </si>
  <si>
    <t>result_94_20251211_221349.pt</t>
  </si>
  <si>
    <t>1jn2_P_rec_1val_png_lig_tt_docked_11.sdf</t>
  </si>
  <si>
    <t>2025-12-11 23:13:58</t>
  </si>
  <si>
    <t>2025-12-11 23:31:02</t>
  </si>
  <si>
    <t>result_95_20251211_221017.pt</t>
  </si>
  <si>
    <t>3li4_A_rec_2gvv_di9_lig_tt_min_0.sdf</t>
  </si>
  <si>
    <t>2025-12-11 23:16:18</t>
  </si>
  <si>
    <t>2025-12-11 23:28:33</t>
  </si>
  <si>
    <t>result_97_20251211_221213.pt</t>
  </si>
  <si>
    <t>1afs_A_rec_1afs_tes_lig_tt_min_0.sdf</t>
  </si>
  <si>
    <t>2025-12-11 23:18:11</t>
  </si>
  <si>
    <t>2025-12-11 23:31:58</t>
  </si>
  <si>
    <t>result_98_20251211_221313.pt</t>
  </si>
  <si>
    <t>4azf_A_rec_5lxc_7aa_lig_tt_min_0.sdf</t>
  </si>
  <si>
    <t>2025-12-11 23:18:31</t>
  </si>
  <si>
    <t>2025-12-11 23:26:46</t>
  </si>
  <si>
    <t>result_99_20251211_221410.pt</t>
  </si>
  <si>
    <t>2pc8_A_rec_1eqc_cts_lig_tt_docked_6.sdf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</si>
</sst>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tabSelected="1" workbookViewId="0">
      <selection activeCell="Q2" sqref="Q2"/>
    </sheetView>
  </sheetViews>
  <sheetFormatPr defaultColWidth="9" defaultRowHeight="13.5"/>
  <cols>
    <col min="17" max="17" width="11.5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="1" customFormat="1" spans="1:41">
      <c r="A2" s="1" t="s">
        <v>40</v>
      </c>
      <c r="B2" s="1" t="s">
        <v>41</v>
      </c>
      <c r="C2" s="1">
        <v>1297.389459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8</v>
      </c>
      <c r="I2" s="1">
        <v>64</v>
      </c>
      <c r="J2" s="1">
        <v>61</v>
      </c>
      <c r="K2" s="1">
        <v>95.3125</v>
      </c>
      <c r="L2" s="1">
        <v>35</v>
      </c>
      <c r="M2" s="1">
        <v>54.6875</v>
      </c>
      <c r="N2" s="1">
        <v>35</v>
      </c>
      <c r="O2" s="1">
        <v>54.6875</v>
      </c>
      <c r="P2" s="1">
        <v>-9.20808571428571</v>
      </c>
      <c r="Q2" s="1">
        <f>PRODUCT(N2,P2)</f>
        <v>-322.283</v>
      </c>
      <c r="R2" s="1">
        <v>-9.213</v>
      </c>
      <c r="S2" s="1">
        <v>-12.033</v>
      </c>
      <c r="T2" s="1">
        <v>-7.275</v>
      </c>
      <c r="U2" s="1">
        <v>-8.18791428571429</v>
      </c>
      <c r="V2" s="1">
        <v>-8.108</v>
      </c>
      <c r="W2" s="1">
        <v>-8.63817142857143</v>
      </c>
      <c r="X2" s="1">
        <v>-8.517</v>
      </c>
      <c r="Y2" s="1">
        <v>0.219641892473371</v>
      </c>
      <c r="Z2" s="1">
        <v>0.181708425304717</v>
      </c>
      <c r="AA2" s="1">
        <v>0.552295081967213</v>
      </c>
      <c r="AB2" s="1">
        <v>0.55</v>
      </c>
      <c r="AC2" s="1">
        <v>0.143473332296225</v>
      </c>
      <c r="AD2" s="1">
        <v>0.14237688744882</v>
      </c>
      <c r="AE2" s="1">
        <v>0.752789894841163</v>
      </c>
      <c r="AF2" s="1">
        <v>0.800054657465734</v>
      </c>
      <c r="AG2" s="1">
        <v>0.789813040430246</v>
      </c>
      <c r="AH2" s="1">
        <v>0.783065298072431</v>
      </c>
      <c r="AI2" s="1">
        <v>0.820264446352238</v>
      </c>
      <c r="AJ2" s="1" t="s">
        <v>46</v>
      </c>
      <c r="AK2" s="1">
        <v>0.810032239779055</v>
      </c>
      <c r="AL2" s="1">
        <v>0.804215918490575</v>
      </c>
      <c r="AM2" s="1">
        <v>0.254621336002572</v>
      </c>
      <c r="AN2" s="1">
        <v>0.6345789256382</v>
      </c>
      <c r="AO2" s="1">
        <v>0</v>
      </c>
    </row>
    <row r="3" s="1" customFormat="1" spans="1:41">
      <c r="A3" s="1" t="s">
        <v>40</v>
      </c>
      <c r="B3" s="1" t="s">
        <v>47</v>
      </c>
      <c r="C3" s="1">
        <v>337.337994</v>
      </c>
      <c r="D3" s="1" t="s">
        <v>48</v>
      </c>
      <c r="E3" s="1" t="s">
        <v>49</v>
      </c>
      <c r="F3" s="1" t="s">
        <v>44</v>
      </c>
      <c r="G3" s="1" t="s">
        <v>45</v>
      </c>
      <c r="H3" s="1">
        <v>8</v>
      </c>
      <c r="I3" s="1">
        <v>64</v>
      </c>
      <c r="J3" s="1">
        <v>64</v>
      </c>
      <c r="K3" s="1">
        <v>100</v>
      </c>
      <c r="L3" s="1">
        <v>16</v>
      </c>
      <c r="M3" s="1">
        <v>25</v>
      </c>
      <c r="N3" s="1">
        <v>16</v>
      </c>
      <c r="O3" s="1">
        <v>25</v>
      </c>
      <c r="P3" s="1">
        <v>-6.48025</v>
      </c>
      <c r="Q3" s="1">
        <f t="shared" ref="Q3:Q34" si="0">PRODUCT(N3,P3)</f>
        <v>-103.684</v>
      </c>
      <c r="R3" s="1">
        <v>-7.065</v>
      </c>
      <c r="S3" s="1">
        <v>-7.799</v>
      </c>
      <c r="T3" s="1">
        <v>-4.089</v>
      </c>
      <c r="U3" s="1">
        <v>-5.0145</v>
      </c>
      <c r="V3" s="1">
        <v>-4.9115</v>
      </c>
      <c r="W3" s="1">
        <v>-5.29975</v>
      </c>
      <c r="X3" s="1">
        <v>-5.335</v>
      </c>
      <c r="Y3" s="1">
        <v>0.391416088992657</v>
      </c>
      <c r="Z3" s="1">
        <v>0.371806710891404</v>
      </c>
      <c r="AA3" s="1">
        <v>0.65203125</v>
      </c>
      <c r="AB3" s="1">
        <v>0.655</v>
      </c>
      <c r="AC3" s="1">
        <v>0.229120962317021</v>
      </c>
      <c r="AD3" s="1">
        <v>0.253455627922504</v>
      </c>
      <c r="AE3" s="1">
        <v>0.766628235782392</v>
      </c>
      <c r="AF3" s="1">
        <v>0.807802920381321</v>
      </c>
      <c r="AG3" s="1" t="s">
        <v>46</v>
      </c>
      <c r="AH3" s="1">
        <v>0.811439319523485</v>
      </c>
      <c r="AI3" s="1">
        <v>0.830410439430112</v>
      </c>
      <c r="AJ3" s="1" t="s">
        <v>46</v>
      </c>
      <c r="AK3" s="1">
        <v>0.798660912959494</v>
      </c>
      <c r="AL3" s="1">
        <v>0.820623111589104</v>
      </c>
      <c r="AM3" s="1">
        <v>0.358065628420151</v>
      </c>
      <c r="AN3" s="1">
        <v>0.658903989216777</v>
      </c>
      <c r="AO3" s="1">
        <v>1</v>
      </c>
    </row>
    <row r="4" s="1" customFormat="1" spans="1:41">
      <c r="A4" s="1" t="s">
        <v>40</v>
      </c>
      <c r="B4" s="1" t="s">
        <v>50</v>
      </c>
      <c r="C4" s="1">
        <v>1215.149167</v>
      </c>
      <c r="D4" s="1" t="s">
        <v>51</v>
      </c>
      <c r="E4" s="1" t="s">
        <v>52</v>
      </c>
      <c r="F4" s="1" t="s">
        <v>44</v>
      </c>
      <c r="G4" s="1" t="s">
        <v>45</v>
      </c>
      <c r="H4" s="1">
        <v>8</v>
      </c>
      <c r="I4" s="1">
        <v>64</v>
      </c>
      <c r="J4" s="1">
        <v>60</v>
      </c>
      <c r="K4" s="1">
        <v>93.75</v>
      </c>
      <c r="L4" s="1">
        <v>25</v>
      </c>
      <c r="M4" s="1">
        <v>39.0625</v>
      </c>
      <c r="N4" s="1">
        <v>25</v>
      </c>
      <c r="O4" s="1">
        <v>39.0625</v>
      </c>
      <c r="P4" s="1">
        <v>-9.12004</v>
      </c>
      <c r="Q4" s="1">
        <f t="shared" si="0"/>
        <v>-228.001</v>
      </c>
      <c r="R4" s="1">
        <v>-8.994</v>
      </c>
      <c r="S4" s="1">
        <v>-10.742</v>
      </c>
      <c r="T4" s="1">
        <v>-6.374</v>
      </c>
      <c r="U4" s="1">
        <v>-7.00976</v>
      </c>
      <c r="V4" s="1">
        <v>-7.076</v>
      </c>
      <c r="W4" s="1">
        <v>-7.30708</v>
      </c>
      <c r="X4" s="1">
        <v>-7.498</v>
      </c>
      <c r="Y4" s="1">
        <v>0.181968339501931</v>
      </c>
      <c r="Z4" s="1">
        <v>0.185049956458659</v>
      </c>
      <c r="AA4" s="1">
        <v>0.528833333333333</v>
      </c>
      <c r="AB4" s="1">
        <v>0.525</v>
      </c>
      <c r="AC4" s="1">
        <v>0.191436946741186</v>
      </c>
      <c r="AD4" s="1">
        <v>0.191486821349942</v>
      </c>
      <c r="AE4" s="1">
        <v>0.767081120391886</v>
      </c>
      <c r="AF4" s="1">
        <v>0.8008493941768</v>
      </c>
      <c r="AG4" s="1">
        <v>0.797194644463382</v>
      </c>
      <c r="AH4" s="1">
        <v>0.778394317702575</v>
      </c>
      <c r="AI4" s="1">
        <v>0.810653920040554</v>
      </c>
      <c r="AJ4" s="1">
        <v>0.817940913714982</v>
      </c>
      <c r="AK4" s="1">
        <v>0.808345493225683</v>
      </c>
      <c r="AL4" s="1">
        <v>0.806542331011733</v>
      </c>
      <c r="AM4" s="1">
        <v>0.24291697698559</v>
      </c>
      <c r="AN4" s="1">
        <v>0.666572702102062</v>
      </c>
      <c r="AO4" s="1">
        <v>10</v>
      </c>
    </row>
    <row r="5" s="1" customFormat="1" spans="1:41">
      <c r="A5" s="1" t="s">
        <v>40</v>
      </c>
      <c r="B5" s="1" t="s">
        <v>53</v>
      </c>
      <c r="C5" s="1">
        <v>1215.746144</v>
      </c>
      <c r="D5" s="1" t="s">
        <v>54</v>
      </c>
      <c r="E5" s="1" t="s">
        <v>55</v>
      </c>
      <c r="F5" s="1" t="s">
        <v>44</v>
      </c>
      <c r="G5" s="1" t="s">
        <v>45</v>
      </c>
      <c r="H5" s="1">
        <v>8</v>
      </c>
      <c r="I5" s="1">
        <v>64</v>
      </c>
      <c r="J5" s="1">
        <v>63</v>
      </c>
      <c r="K5" s="1">
        <v>98.4375</v>
      </c>
      <c r="L5" s="1">
        <v>37</v>
      </c>
      <c r="M5" s="1">
        <v>57.8125</v>
      </c>
      <c r="N5" s="1">
        <v>37</v>
      </c>
      <c r="O5" s="1">
        <v>57.8125</v>
      </c>
      <c r="P5" s="1">
        <v>-8.58654054054054</v>
      </c>
      <c r="Q5" s="1">
        <f t="shared" si="0"/>
        <v>-317.702</v>
      </c>
      <c r="R5" s="1">
        <v>-8.416</v>
      </c>
      <c r="S5" s="1">
        <v>-11.025</v>
      </c>
      <c r="T5" s="1">
        <v>-7.225</v>
      </c>
      <c r="U5" s="1">
        <v>-7.68908108108108</v>
      </c>
      <c r="V5" s="1">
        <v>-7.823</v>
      </c>
      <c r="W5" s="1">
        <v>-7.89756756756757</v>
      </c>
      <c r="X5" s="1">
        <v>-7.864</v>
      </c>
      <c r="Y5" s="1">
        <v>0.193094257981396</v>
      </c>
      <c r="Z5" s="1">
        <v>0.155163847529346</v>
      </c>
      <c r="AA5" s="1">
        <v>0.554126984126984</v>
      </c>
      <c r="AB5" s="1">
        <v>0.55</v>
      </c>
      <c r="AC5" s="1">
        <v>0.156360589765807</v>
      </c>
      <c r="AD5" s="1">
        <v>0.153720057832985</v>
      </c>
      <c r="AE5" s="1">
        <v>0.744582048059367</v>
      </c>
      <c r="AF5" s="1">
        <v>0.802054911079764</v>
      </c>
      <c r="AG5" s="1">
        <v>0.830331747369606</v>
      </c>
      <c r="AH5" s="1">
        <v>0.783503569139266</v>
      </c>
      <c r="AI5" s="1">
        <v>0.8040242402365</v>
      </c>
      <c r="AJ5" s="1">
        <v>0.799427718356854</v>
      </c>
      <c r="AK5" s="1">
        <v>0.812046136138479</v>
      </c>
      <c r="AL5" s="1">
        <v>0.800433467745472</v>
      </c>
      <c r="AM5" s="1">
        <v>0.264532533782174</v>
      </c>
      <c r="AN5" s="1">
        <v>0.636474042401573</v>
      </c>
      <c r="AO5" s="1">
        <v>11</v>
      </c>
    </row>
    <row r="6" s="1" customFormat="1" spans="1:41">
      <c r="A6" s="1" t="s">
        <v>40</v>
      </c>
      <c r="B6" s="1" t="s">
        <v>56</v>
      </c>
      <c r="C6" s="1">
        <v>1447.820252</v>
      </c>
      <c r="D6" s="1" t="s">
        <v>57</v>
      </c>
      <c r="E6" s="1" t="s">
        <v>58</v>
      </c>
      <c r="F6" s="1" t="s">
        <v>44</v>
      </c>
      <c r="G6" s="1" t="s">
        <v>45</v>
      </c>
      <c r="H6" s="1">
        <v>8</v>
      </c>
      <c r="I6" s="1">
        <v>64</v>
      </c>
      <c r="J6" s="1">
        <v>63</v>
      </c>
      <c r="K6" s="1">
        <v>98.4375</v>
      </c>
      <c r="L6" s="1">
        <v>47</v>
      </c>
      <c r="M6" s="1">
        <v>73.4375</v>
      </c>
      <c r="N6" s="1">
        <v>47</v>
      </c>
      <c r="O6" s="1">
        <v>73.4375</v>
      </c>
      <c r="P6" s="1">
        <v>-9.13523404255319</v>
      </c>
      <c r="Q6" s="1">
        <f t="shared" si="0"/>
        <v>-429.356</v>
      </c>
      <c r="R6" s="1">
        <v>-8.824</v>
      </c>
      <c r="S6" s="1">
        <v>-14.202</v>
      </c>
      <c r="T6" s="1">
        <v>-5.039</v>
      </c>
      <c r="U6" s="1">
        <v>-7.05855319148936</v>
      </c>
      <c r="V6" s="1">
        <v>-7.207</v>
      </c>
      <c r="W6" s="1">
        <v>-7.75665957446808</v>
      </c>
      <c r="X6" s="1">
        <v>-7.985</v>
      </c>
      <c r="Y6" s="1">
        <v>0.233669760172568</v>
      </c>
      <c r="Z6" s="1">
        <v>0.207264961977481</v>
      </c>
      <c r="AA6" s="1">
        <v>0.58968253968254</v>
      </c>
      <c r="AB6" s="1">
        <v>0.59</v>
      </c>
      <c r="AC6" s="1">
        <v>0.205855598981649</v>
      </c>
      <c r="AD6" s="1">
        <v>0.196596655201217</v>
      </c>
      <c r="AE6" s="1">
        <v>0.771355490677126</v>
      </c>
      <c r="AF6" s="1">
        <v>0.801253954813933</v>
      </c>
      <c r="AG6" s="1">
        <v>0.795796193674795</v>
      </c>
      <c r="AH6" s="1">
        <v>0.779026305234181</v>
      </c>
      <c r="AI6" s="1">
        <v>0.814446583233898</v>
      </c>
      <c r="AJ6" s="1">
        <v>0.808934986703964</v>
      </c>
      <c r="AK6" s="1">
        <v>0.811757991424706</v>
      </c>
      <c r="AL6" s="1">
        <v>0.814489252584403</v>
      </c>
      <c r="AM6" s="1">
        <v>0.294839993895294</v>
      </c>
      <c r="AN6" s="1">
        <v>0.661022317418463</v>
      </c>
      <c r="AO6" s="1">
        <v>13</v>
      </c>
    </row>
    <row r="7" s="1" customFormat="1" spans="1:41">
      <c r="A7" s="1" t="s">
        <v>40</v>
      </c>
      <c r="B7" s="1" t="s">
        <v>59</v>
      </c>
      <c r="C7" s="1">
        <v>348.33145</v>
      </c>
      <c r="D7" s="1" t="s">
        <v>60</v>
      </c>
      <c r="E7" s="1" t="s">
        <v>61</v>
      </c>
      <c r="F7" s="1" t="s">
        <v>44</v>
      </c>
      <c r="G7" s="1" t="s">
        <v>45</v>
      </c>
      <c r="H7" s="1">
        <v>8</v>
      </c>
      <c r="I7" s="1">
        <v>64</v>
      </c>
      <c r="J7" s="1">
        <v>62</v>
      </c>
      <c r="K7" s="1">
        <v>96.875</v>
      </c>
      <c r="L7" s="1">
        <v>52</v>
      </c>
      <c r="M7" s="1">
        <v>81.25</v>
      </c>
      <c r="N7" s="1">
        <v>52</v>
      </c>
      <c r="O7" s="1">
        <v>81.25</v>
      </c>
      <c r="P7" s="1">
        <v>-4.9035</v>
      </c>
      <c r="Q7" s="1">
        <f t="shared" si="0"/>
        <v>-254.982</v>
      </c>
      <c r="R7" s="1">
        <v>-4.892</v>
      </c>
      <c r="S7" s="1">
        <v>-6.393</v>
      </c>
      <c r="T7" s="1">
        <v>-3.624</v>
      </c>
      <c r="U7" s="1">
        <v>-3.37705769230769</v>
      </c>
      <c r="V7" s="1">
        <v>-3.4435</v>
      </c>
      <c r="W7" s="1">
        <v>-3.70398076923077</v>
      </c>
      <c r="X7" s="1">
        <v>-3.778</v>
      </c>
      <c r="Y7" s="1">
        <v>0.481481440717486</v>
      </c>
      <c r="Z7" s="1">
        <v>0.528422363906763</v>
      </c>
      <c r="AA7" s="1">
        <v>0.673387096774193</v>
      </c>
      <c r="AB7" s="1">
        <v>0.645</v>
      </c>
      <c r="AC7" s="1">
        <v>0.260009268566581</v>
      </c>
      <c r="AD7" s="1">
        <v>0.268480567609141</v>
      </c>
      <c r="AE7" s="1">
        <v>0.77126318452095</v>
      </c>
      <c r="AF7" s="1">
        <v>0.807357936034013</v>
      </c>
      <c r="AG7" s="1">
        <v>0.76193830869839</v>
      </c>
      <c r="AH7" s="1">
        <v>0.805471209008329</v>
      </c>
      <c r="AI7" s="1">
        <v>0.814609852750911</v>
      </c>
      <c r="AJ7" s="1" t="s">
        <v>46</v>
      </c>
      <c r="AK7" s="1">
        <v>0.810339973362464</v>
      </c>
      <c r="AL7" s="1">
        <v>0.814784390773271</v>
      </c>
      <c r="AM7" s="1">
        <v>0.508494412505887</v>
      </c>
      <c r="AN7" s="1">
        <v>0.672211422130259</v>
      </c>
      <c r="AO7" s="1">
        <v>14</v>
      </c>
    </row>
    <row r="8" s="1" customFormat="1" spans="1:41">
      <c r="A8" s="1" t="s">
        <v>40</v>
      </c>
      <c r="B8" s="1" t="s">
        <v>62</v>
      </c>
      <c r="C8" s="1">
        <v>741.757643</v>
      </c>
      <c r="D8" s="1" t="s">
        <v>63</v>
      </c>
      <c r="E8" s="1" t="s">
        <v>64</v>
      </c>
      <c r="F8" s="1" t="s">
        <v>44</v>
      </c>
      <c r="G8" s="1" t="s">
        <v>45</v>
      </c>
      <c r="H8" s="1">
        <v>8</v>
      </c>
      <c r="I8" s="1">
        <v>64</v>
      </c>
      <c r="J8" s="1">
        <v>63</v>
      </c>
      <c r="K8" s="1">
        <v>98.4375</v>
      </c>
      <c r="L8" s="1">
        <v>48</v>
      </c>
      <c r="M8" s="1">
        <v>75</v>
      </c>
      <c r="N8" s="1">
        <v>48</v>
      </c>
      <c r="O8" s="1">
        <v>75</v>
      </c>
      <c r="P8" s="1">
        <v>-7.03102083333333</v>
      </c>
      <c r="Q8" s="1">
        <f t="shared" si="0"/>
        <v>-337.489</v>
      </c>
      <c r="R8" s="1">
        <v>-6.975</v>
      </c>
      <c r="S8" s="1">
        <v>-9.692</v>
      </c>
      <c r="T8" s="1">
        <v>-4.967</v>
      </c>
      <c r="U8" s="1">
        <v>-4.90425</v>
      </c>
      <c r="V8" s="1">
        <v>-4.643</v>
      </c>
      <c r="W8" s="1">
        <v>-5.59264583333333</v>
      </c>
      <c r="X8" s="1">
        <v>-5.448</v>
      </c>
      <c r="Y8" s="1">
        <v>0.4801685807437</v>
      </c>
      <c r="Z8" s="1">
        <v>0.49695482155482</v>
      </c>
      <c r="AA8" s="1">
        <v>0.597460317460318</v>
      </c>
      <c r="AB8" s="1">
        <v>0.6</v>
      </c>
      <c r="AC8" s="1">
        <v>0.229165410873415</v>
      </c>
      <c r="AD8" s="1">
        <v>0.214391251198142</v>
      </c>
      <c r="AE8" s="1">
        <v>0.755821670490314</v>
      </c>
      <c r="AF8" s="1">
        <v>0.807300782645587</v>
      </c>
      <c r="AG8" s="1">
        <v>0.80695536310707</v>
      </c>
      <c r="AH8" s="1">
        <v>0.795932311044656</v>
      </c>
      <c r="AI8" s="1">
        <v>0.812304162724735</v>
      </c>
      <c r="AJ8" s="1">
        <v>0.815561941302106</v>
      </c>
      <c r="AK8" s="1">
        <v>0.804741048949762</v>
      </c>
      <c r="AL8" s="1">
        <v>0.822482452782114</v>
      </c>
      <c r="AM8" s="1">
        <v>0.30724569597985</v>
      </c>
      <c r="AN8" s="1">
        <v>0.647923832742918</v>
      </c>
      <c r="AO8" s="1">
        <v>15</v>
      </c>
    </row>
    <row r="9" s="1" customFormat="1" spans="1:41">
      <c r="A9" s="1" t="s">
        <v>40</v>
      </c>
      <c r="B9" s="1" t="s">
        <v>65</v>
      </c>
      <c r="C9" s="1">
        <v>1270.023213</v>
      </c>
      <c r="D9" s="1" t="s">
        <v>66</v>
      </c>
      <c r="E9" s="1" t="s">
        <v>67</v>
      </c>
      <c r="F9" s="1" t="s">
        <v>44</v>
      </c>
      <c r="G9" s="1" t="s">
        <v>45</v>
      </c>
      <c r="H9" s="1">
        <v>8</v>
      </c>
      <c r="I9" s="1">
        <v>64</v>
      </c>
      <c r="J9" s="1">
        <v>63</v>
      </c>
      <c r="K9" s="1">
        <v>98.4375</v>
      </c>
      <c r="L9" s="1">
        <v>31</v>
      </c>
      <c r="M9" s="1">
        <v>48.4375</v>
      </c>
      <c r="N9" s="1">
        <v>31</v>
      </c>
      <c r="O9" s="1">
        <v>48.4375</v>
      </c>
      <c r="P9" s="1">
        <v>-8.27835483870968</v>
      </c>
      <c r="Q9" s="1">
        <f t="shared" si="0"/>
        <v>-256.629</v>
      </c>
      <c r="R9" s="1">
        <v>-8.344</v>
      </c>
      <c r="S9" s="1">
        <v>-10.944</v>
      </c>
      <c r="T9" s="1">
        <v>-6.297</v>
      </c>
      <c r="U9" s="1">
        <v>-5.99787096774194</v>
      </c>
      <c r="V9" s="1">
        <v>-6.272</v>
      </c>
      <c r="W9" s="1">
        <v>-6.57625806451613</v>
      </c>
      <c r="X9" s="1">
        <v>-6.753</v>
      </c>
      <c r="Y9" s="1">
        <v>0.241863796857804</v>
      </c>
      <c r="Z9" s="1">
        <v>0.208564412032626</v>
      </c>
      <c r="AA9" s="1">
        <v>0.573015873015873</v>
      </c>
      <c r="AB9" s="1">
        <v>0.56</v>
      </c>
      <c r="AC9" s="1">
        <v>0.162234578396728</v>
      </c>
      <c r="AD9" s="1">
        <v>0.156732803872811</v>
      </c>
      <c r="AE9" s="1">
        <v>0.751154497515041</v>
      </c>
      <c r="AF9" s="1">
        <v>0.805011280584334</v>
      </c>
      <c r="AG9" s="1">
        <v>0.816503454913972</v>
      </c>
      <c r="AH9" s="1">
        <v>0.78875617466015</v>
      </c>
      <c r="AI9" s="1">
        <v>0.806236463421162</v>
      </c>
      <c r="AJ9" s="1">
        <v>0.790641422669761</v>
      </c>
      <c r="AK9" s="1">
        <v>0.805762815545522</v>
      </c>
      <c r="AL9" s="1">
        <v>0.795724568898296</v>
      </c>
      <c r="AM9" s="1">
        <v>0.265815245055214</v>
      </c>
      <c r="AN9" s="1">
        <v>0.633390985340425</v>
      </c>
      <c r="AO9" s="1">
        <v>16</v>
      </c>
    </row>
    <row r="10" s="1" customFormat="1" spans="1:41">
      <c r="A10" s="1" t="s">
        <v>40</v>
      </c>
      <c r="B10" s="1" t="s">
        <v>68</v>
      </c>
      <c r="C10" s="1">
        <v>860.825846</v>
      </c>
      <c r="D10" s="1" t="s">
        <v>69</v>
      </c>
      <c r="E10" s="1" t="s">
        <v>70</v>
      </c>
      <c r="F10" s="1" t="s">
        <v>44</v>
      </c>
      <c r="G10" s="1" t="s">
        <v>45</v>
      </c>
      <c r="H10" s="1">
        <v>8</v>
      </c>
      <c r="I10" s="1">
        <v>64</v>
      </c>
      <c r="J10" s="1">
        <v>61</v>
      </c>
      <c r="K10" s="1">
        <v>95.3125</v>
      </c>
      <c r="L10" s="1">
        <v>26</v>
      </c>
      <c r="M10" s="1">
        <v>40.625</v>
      </c>
      <c r="N10" s="1">
        <v>26</v>
      </c>
      <c r="O10" s="1">
        <v>40.625</v>
      </c>
      <c r="P10" s="1">
        <v>-8.07019230769231</v>
      </c>
      <c r="Q10" s="1">
        <f t="shared" si="0"/>
        <v>-209.825</v>
      </c>
      <c r="R10" s="1">
        <v>-8.1885</v>
      </c>
      <c r="S10" s="1">
        <v>-10.546</v>
      </c>
      <c r="T10" s="1">
        <v>-5.89</v>
      </c>
      <c r="U10" s="1">
        <v>-6.39565384615385</v>
      </c>
      <c r="V10" s="1">
        <v>-6.378</v>
      </c>
      <c r="W10" s="1">
        <v>-6.62607692307692</v>
      </c>
      <c r="X10" s="1">
        <v>-6.7195</v>
      </c>
      <c r="Y10" s="1">
        <v>0.210665241793147</v>
      </c>
      <c r="Z10" s="1">
        <v>0.171790090402779</v>
      </c>
      <c r="AA10" s="1">
        <v>0.568688524590164</v>
      </c>
      <c r="AB10" s="1">
        <v>0.56</v>
      </c>
      <c r="AC10" s="1">
        <v>0.199454466795203</v>
      </c>
      <c r="AD10" s="1">
        <v>0.179611968453812</v>
      </c>
      <c r="AE10" s="1">
        <v>0.752797104494794</v>
      </c>
      <c r="AF10" s="1">
        <v>0.805238819423306</v>
      </c>
      <c r="AG10" s="1">
        <v>0.806027526663906</v>
      </c>
      <c r="AH10" s="1">
        <v>0.787736329692992</v>
      </c>
      <c r="AI10" s="1">
        <v>0.816364680846016</v>
      </c>
      <c r="AJ10" s="1">
        <v>0.794789058822648</v>
      </c>
      <c r="AK10" s="1">
        <v>0.800691043956149</v>
      </c>
      <c r="AL10" s="1">
        <v>0.814177163186473</v>
      </c>
      <c r="AM10" s="1">
        <v>0.261556518036581</v>
      </c>
      <c r="AN10" s="1">
        <v>0.643986074532162</v>
      </c>
      <c r="AO10" s="1">
        <v>17</v>
      </c>
    </row>
    <row r="11" s="1" customFormat="1" spans="1:41">
      <c r="A11" s="1" t="s">
        <v>40</v>
      </c>
      <c r="B11" s="1" t="s">
        <v>71</v>
      </c>
      <c r="C11" s="1">
        <v>656.074943</v>
      </c>
      <c r="D11" s="1" t="s">
        <v>72</v>
      </c>
      <c r="E11" s="1" t="s">
        <v>73</v>
      </c>
      <c r="F11" s="1" t="s">
        <v>44</v>
      </c>
      <c r="G11" s="1" t="s">
        <v>45</v>
      </c>
      <c r="H11" s="1">
        <v>8</v>
      </c>
      <c r="I11" s="1">
        <v>64</v>
      </c>
      <c r="J11" s="1">
        <v>64</v>
      </c>
      <c r="K11" s="1">
        <v>100</v>
      </c>
      <c r="L11" s="1">
        <v>23</v>
      </c>
      <c r="M11" s="1">
        <v>35.9375</v>
      </c>
      <c r="N11" s="1">
        <v>23</v>
      </c>
      <c r="O11" s="1">
        <v>35.9375</v>
      </c>
      <c r="P11" s="1">
        <v>-6.10104347826087</v>
      </c>
      <c r="Q11" s="1">
        <f t="shared" si="0"/>
        <v>-140.324</v>
      </c>
      <c r="R11" s="1">
        <v>-5.905</v>
      </c>
      <c r="S11" s="1">
        <v>-7.879</v>
      </c>
      <c r="T11" s="1">
        <v>-4.708</v>
      </c>
      <c r="U11" s="1">
        <v>-4.78430434782609</v>
      </c>
      <c r="V11" s="1">
        <v>-4.488</v>
      </c>
      <c r="W11" s="1">
        <v>-5.11330434782609</v>
      </c>
      <c r="X11" s="1">
        <v>-4.886</v>
      </c>
      <c r="Y11" s="1">
        <v>0.286696985267566</v>
      </c>
      <c r="Z11" s="1">
        <v>0.274247765948782</v>
      </c>
      <c r="AA11" s="1">
        <v>0.6671875</v>
      </c>
      <c r="AB11" s="1">
        <v>0.66</v>
      </c>
      <c r="AC11" s="1">
        <v>0.166096425050951</v>
      </c>
      <c r="AD11" s="1">
        <v>0.160999055541342</v>
      </c>
      <c r="AE11" s="1">
        <v>0.746526758012437</v>
      </c>
      <c r="AF11" s="1">
        <v>0.794977761990224</v>
      </c>
      <c r="AG11" s="1">
        <v>0.800522867889247</v>
      </c>
      <c r="AH11" s="1">
        <v>0.803306517211967</v>
      </c>
      <c r="AI11" s="1">
        <v>0.805322523159891</v>
      </c>
      <c r="AJ11" s="1" t="s">
        <v>46</v>
      </c>
      <c r="AK11" s="1">
        <v>0.810847302934253</v>
      </c>
      <c r="AL11" s="1">
        <v>0.812461755834432</v>
      </c>
      <c r="AM11" s="1">
        <v>0.289946489641401</v>
      </c>
      <c r="AN11" s="1">
        <v>0.607719039495403</v>
      </c>
      <c r="AO11" s="1">
        <v>18</v>
      </c>
    </row>
    <row r="12" s="1" customFormat="1" spans="1:41">
      <c r="A12" s="1" t="s">
        <v>40</v>
      </c>
      <c r="B12" s="1" t="s">
        <v>74</v>
      </c>
      <c r="C12" s="1">
        <v>1325.327207</v>
      </c>
      <c r="D12" s="1" t="s">
        <v>75</v>
      </c>
      <c r="E12" s="1" t="s">
        <v>76</v>
      </c>
      <c r="F12" s="1" t="s">
        <v>44</v>
      </c>
      <c r="G12" s="1" t="s">
        <v>45</v>
      </c>
      <c r="H12" s="1">
        <v>8</v>
      </c>
      <c r="I12" s="1">
        <v>64</v>
      </c>
      <c r="J12" s="1">
        <v>63</v>
      </c>
      <c r="K12" s="1">
        <v>98.4375</v>
      </c>
      <c r="L12" s="1">
        <v>39</v>
      </c>
      <c r="M12" s="1">
        <v>60.9375</v>
      </c>
      <c r="N12" s="1">
        <v>39</v>
      </c>
      <c r="O12" s="1">
        <v>60.9375</v>
      </c>
      <c r="P12" s="1">
        <v>-9.29446153846154</v>
      </c>
      <c r="Q12" s="1">
        <f t="shared" si="0"/>
        <v>-362.484</v>
      </c>
      <c r="R12" s="1">
        <v>-9.29</v>
      </c>
      <c r="S12" s="1">
        <v>-11.366</v>
      </c>
      <c r="T12" s="1">
        <v>-7.602</v>
      </c>
      <c r="U12" s="1">
        <v>-7.18061538461538</v>
      </c>
      <c r="V12" s="1">
        <v>-7.432</v>
      </c>
      <c r="W12" s="1">
        <v>-7.82071794871795</v>
      </c>
      <c r="X12" s="1">
        <v>-7.783</v>
      </c>
      <c r="Y12" s="1">
        <v>0.233020725570393</v>
      </c>
      <c r="Z12" s="1">
        <v>0.208323904870152</v>
      </c>
      <c r="AA12" s="1">
        <v>0.593333333333333</v>
      </c>
      <c r="AB12" s="1">
        <v>0.58</v>
      </c>
      <c r="AC12" s="1">
        <v>0.160774406429678</v>
      </c>
      <c r="AD12" s="1">
        <v>0.153156090728311</v>
      </c>
      <c r="AE12" s="1">
        <v>0.740854101344732</v>
      </c>
      <c r="AF12" s="1">
        <v>0.808042146350695</v>
      </c>
      <c r="AG12" s="1" t="s">
        <v>46</v>
      </c>
      <c r="AH12" s="1">
        <v>0.792898594584893</v>
      </c>
      <c r="AI12" s="1">
        <v>0.82023565573622</v>
      </c>
      <c r="AJ12" s="1" t="s">
        <v>46</v>
      </c>
      <c r="AK12" s="1">
        <v>0.802280124127622</v>
      </c>
      <c r="AL12" s="1">
        <v>0.808275275765665</v>
      </c>
      <c r="AM12" s="1">
        <v>0.268903443546885</v>
      </c>
      <c r="AN12" s="1">
        <v>0.625506051032824</v>
      </c>
      <c r="AO12" s="1">
        <v>19</v>
      </c>
    </row>
    <row r="13" s="1" customFormat="1" spans="1:41">
      <c r="A13" s="1" t="s">
        <v>40</v>
      </c>
      <c r="B13" s="1" t="s">
        <v>77</v>
      </c>
      <c r="C13" s="1">
        <v>1177.126659</v>
      </c>
      <c r="D13" s="1" t="s">
        <v>78</v>
      </c>
      <c r="E13" s="1" t="s">
        <v>79</v>
      </c>
      <c r="F13" s="1" t="s">
        <v>44</v>
      </c>
      <c r="G13" s="1" t="s">
        <v>45</v>
      </c>
      <c r="H13" s="1">
        <v>8</v>
      </c>
      <c r="I13" s="1">
        <v>64</v>
      </c>
      <c r="J13" s="1">
        <v>64</v>
      </c>
      <c r="K13" s="1">
        <v>100</v>
      </c>
      <c r="L13" s="1">
        <v>32</v>
      </c>
      <c r="M13" s="1">
        <v>50</v>
      </c>
      <c r="N13" s="1">
        <v>32</v>
      </c>
      <c r="O13" s="1">
        <v>50</v>
      </c>
      <c r="P13" s="1">
        <v>-7.7806875</v>
      </c>
      <c r="Q13" s="1">
        <f t="shared" si="0"/>
        <v>-248.982</v>
      </c>
      <c r="R13" s="1">
        <v>-7.6185</v>
      </c>
      <c r="S13" s="1">
        <v>-10.776</v>
      </c>
      <c r="T13" s="1">
        <v>-6.484</v>
      </c>
      <c r="U13" s="1">
        <v>-5.7009375</v>
      </c>
      <c r="V13" s="1">
        <v>-5.5365</v>
      </c>
      <c r="W13" s="1">
        <v>-5.87625</v>
      </c>
      <c r="X13" s="1">
        <v>-5.8035</v>
      </c>
      <c r="Y13" s="1">
        <v>0.241117257467244</v>
      </c>
      <c r="Z13" s="1">
        <v>0.208235304323195</v>
      </c>
      <c r="AA13" s="1">
        <v>0.556875</v>
      </c>
      <c r="AB13" s="1">
        <v>0.545</v>
      </c>
      <c r="AC13" s="1">
        <v>0.161426932935922</v>
      </c>
      <c r="AD13" s="1">
        <v>0.153389880960985</v>
      </c>
      <c r="AE13" s="1">
        <v>0.748772460612473</v>
      </c>
      <c r="AF13" s="1">
        <v>0.807060660230715</v>
      </c>
      <c r="AG13" s="1">
        <v>0.796148941452562</v>
      </c>
      <c r="AH13" s="1">
        <v>0.783844733446152</v>
      </c>
      <c r="AI13" s="1">
        <v>0.811630205451851</v>
      </c>
      <c r="AJ13" s="1">
        <v>0.808981004539976</v>
      </c>
      <c r="AK13" s="1">
        <v>0.806208831914717</v>
      </c>
      <c r="AL13" s="1">
        <v>0.80305871864069</v>
      </c>
      <c r="AM13" s="1">
        <v>0.297396335579473</v>
      </c>
      <c r="AN13" s="1">
        <v>0.64620540277368</v>
      </c>
      <c r="AO13" s="1">
        <v>2</v>
      </c>
    </row>
    <row r="14" s="1" customFormat="1" spans="1:41">
      <c r="A14" s="1" t="s">
        <v>40</v>
      </c>
      <c r="B14" s="1" t="s">
        <v>80</v>
      </c>
      <c r="C14" s="1">
        <v>861.788486</v>
      </c>
      <c r="D14" s="1" t="s">
        <v>81</v>
      </c>
      <c r="E14" s="1" t="s">
        <v>82</v>
      </c>
      <c r="F14" s="1" t="s">
        <v>44</v>
      </c>
      <c r="G14" s="1" t="s">
        <v>45</v>
      </c>
      <c r="H14" s="1">
        <v>8</v>
      </c>
      <c r="I14" s="1">
        <v>64</v>
      </c>
      <c r="J14" s="1">
        <v>64</v>
      </c>
      <c r="K14" s="1">
        <v>100</v>
      </c>
      <c r="L14" s="1">
        <v>47</v>
      </c>
      <c r="M14" s="1">
        <v>73.4375</v>
      </c>
      <c r="N14" s="1">
        <v>47</v>
      </c>
      <c r="O14" s="1">
        <v>73.4375</v>
      </c>
      <c r="P14" s="1">
        <v>-7.22197872340426</v>
      </c>
      <c r="Q14" s="1">
        <f t="shared" si="0"/>
        <v>-339.433</v>
      </c>
      <c r="R14" s="1">
        <v>-7.07</v>
      </c>
      <c r="S14" s="1">
        <v>-10.062</v>
      </c>
      <c r="T14" s="1">
        <v>-5.357</v>
      </c>
      <c r="U14" s="1">
        <v>-2.42244680851064</v>
      </c>
      <c r="V14" s="1">
        <v>-2.406</v>
      </c>
      <c r="W14" s="1">
        <v>-3.46295744680851</v>
      </c>
      <c r="X14" s="1">
        <v>-3.355</v>
      </c>
      <c r="Y14" s="1">
        <v>0.477600991741516</v>
      </c>
      <c r="Z14" s="1">
        <v>0.497966853069333</v>
      </c>
      <c r="AA14" s="1">
        <v>0.59203125</v>
      </c>
      <c r="AB14" s="1">
        <v>0.585</v>
      </c>
      <c r="AC14" s="1">
        <v>0.237903277140117</v>
      </c>
      <c r="AD14" s="1">
        <v>0.244657873812354</v>
      </c>
      <c r="AE14" s="1">
        <v>0.736511149212501</v>
      </c>
      <c r="AF14" s="1">
        <v>0.795070812327195</v>
      </c>
      <c r="AG14" s="1">
        <v>0.764466121627326</v>
      </c>
      <c r="AH14" s="1">
        <v>0.800206219984488</v>
      </c>
      <c r="AI14" s="1">
        <v>0.822497467454484</v>
      </c>
      <c r="AJ14" s="1" t="s">
        <v>46</v>
      </c>
      <c r="AK14" s="1">
        <v>0.814869644540281</v>
      </c>
      <c r="AL14" s="1">
        <v>0.811705690125854</v>
      </c>
      <c r="AM14" s="1">
        <v>0.29487640818883</v>
      </c>
      <c r="AN14" s="1">
        <v>0.602155665573541</v>
      </c>
      <c r="AO14" s="1">
        <v>20</v>
      </c>
    </row>
    <row r="15" s="1" customFormat="1" spans="1:41">
      <c r="A15" s="1" t="s">
        <v>40</v>
      </c>
      <c r="B15" s="1" t="s">
        <v>83</v>
      </c>
      <c r="C15" s="1">
        <v>1201.965702</v>
      </c>
      <c r="D15" s="1" t="s">
        <v>84</v>
      </c>
      <c r="E15" s="1" t="s">
        <v>85</v>
      </c>
      <c r="F15" s="1" t="s">
        <v>44</v>
      </c>
      <c r="G15" s="1" t="s">
        <v>45</v>
      </c>
      <c r="H15" s="1">
        <v>8</v>
      </c>
      <c r="I15" s="1">
        <v>64</v>
      </c>
      <c r="J15" s="1">
        <v>62</v>
      </c>
      <c r="K15" s="1">
        <v>96.875</v>
      </c>
      <c r="L15" s="1">
        <v>50</v>
      </c>
      <c r="M15" s="1">
        <v>78.125</v>
      </c>
      <c r="N15" s="1">
        <v>50</v>
      </c>
      <c r="O15" s="1">
        <v>78.125</v>
      </c>
      <c r="P15" s="1">
        <v>-9.02036</v>
      </c>
      <c r="Q15" s="1">
        <f t="shared" si="0"/>
        <v>-451.018</v>
      </c>
      <c r="R15" s="1">
        <v>-9.005</v>
      </c>
      <c r="S15" s="1">
        <v>-12.628</v>
      </c>
      <c r="T15" s="1">
        <v>-5.358</v>
      </c>
      <c r="U15" s="1">
        <v>-6.49348</v>
      </c>
      <c r="V15" s="1">
        <v>-6.7305</v>
      </c>
      <c r="W15" s="1">
        <v>-6.7231</v>
      </c>
      <c r="X15" s="1">
        <v>-6.9485</v>
      </c>
      <c r="Y15" s="1">
        <v>0.318010857880923</v>
      </c>
      <c r="Z15" s="1">
        <v>0.30621652619626</v>
      </c>
      <c r="AA15" s="1">
        <v>0.646612903225806</v>
      </c>
      <c r="AB15" s="1">
        <v>0.62</v>
      </c>
      <c r="AC15" s="1">
        <v>0.246758491898617</v>
      </c>
      <c r="AD15" s="1">
        <v>0.245737252040254</v>
      </c>
      <c r="AE15" s="1">
        <v>0.742448882310722</v>
      </c>
      <c r="AF15" s="1">
        <v>0.790816768618542</v>
      </c>
      <c r="AG15" s="1">
        <v>0.780028259033463</v>
      </c>
      <c r="AH15" s="1">
        <v>0.791354166574816</v>
      </c>
      <c r="AI15" s="1">
        <v>0.807960121014597</v>
      </c>
      <c r="AJ15" s="1">
        <v>0.800861417506485</v>
      </c>
      <c r="AK15" s="1">
        <v>0.804488092244339</v>
      </c>
      <c r="AL15" s="1">
        <v>0.810055926378926</v>
      </c>
      <c r="AM15" s="1">
        <v>0.311381739697466</v>
      </c>
      <c r="AN15" s="1">
        <v>0.606443666486373</v>
      </c>
      <c r="AO15" s="1">
        <v>21</v>
      </c>
    </row>
    <row r="16" s="1" customFormat="1" spans="1:41">
      <c r="A16" s="1" t="s">
        <v>40</v>
      </c>
      <c r="B16" s="1" t="s">
        <v>86</v>
      </c>
      <c r="C16" s="1">
        <v>1900.384235</v>
      </c>
      <c r="D16" s="1" t="s">
        <v>87</v>
      </c>
      <c r="E16" s="1" t="s">
        <v>88</v>
      </c>
      <c r="F16" s="1" t="s">
        <v>44</v>
      </c>
      <c r="G16" s="1" t="s">
        <v>45</v>
      </c>
      <c r="H16" s="1">
        <v>8</v>
      </c>
      <c r="I16" s="1">
        <v>64</v>
      </c>
      <c r="J16" s="1">
        <v>61</v>
      </c>
      <c r="K16" s="1">
        <v>95.3125</v>
      </c>
      <c r="L16" s="1">
        <v>38</v>
      </c>
      <c r="M16" s="1">
        <v>59.375</v>
      </c>
      <c r="N16" s="1">
        <v>38</v>
      </c>
      <c r="O16" s="1">
        <v>59.375</v>
      </c>
      <c r="P16" s="1">
        <v>-10.2691842105263</v>
      </c>
      <c r="Q16" s="1">
        <f t="shared" si="0"/>
        <v>-390.228999999999</v>
      </c>
      <c r="R16" s="1">
        <v>-10.204</v>
      </c>
      <c r="S16" s="1">
        <v>-13.367</v>
      </c>
      <c r="T16" s="1">
        <v>-7.596</v>
      </c>
      <c r="U16" s="1">
        <v>-7.99605263157895</v>
      </c>
      <c r="V16" s="1">
        <v>-8.6615</v>
      </c>
      <c r="W16" s="1">
        <v>-8.6435</v>
      </c>
      <c r="X16" s="1">
        <v>-9.0615</v>
      </c>
      <c r="Y16" s="1">
        <v>0.170875454926122</v>
      </c>
      <c r="Z16" s="1">
        <v>0.158897232016708</v>
      </c>
      <c r="AA16" s="1">
        <v>0.519672131147541</v>
      </c>
      <c r="AB16" s="1">
        <v>0.5</v>
      </c>
      <c r="AC16" s="1">
        <v>0.263788122135142</v>
      </c>
      <c r="AD16" s="1">
        <v>0.266601106106076</v>
      </c>
      <c r="AE16" s="1">
        <v>0.707858291365699</v>
      </c>
      <c r="AF16" s="1">
        <v>0.78784911298333</v>
      </c>
      <c r="AG16" s="1">
        <v>0.775670277190465</v>
      </c>
      <c r="AH16" s="1">
        <v>0.791079116471056</v>
      </c>
      <c r="AI16" s="1">
        <v>0.805452073140016</v>
      </c>
      <c r="AJ16" s="1" t="s">
        <v>46</v>
      </c>
      <c r="AK16" s="1">
        <v>0.815207181439931</v>
      </c>
      <c r="AL16" s="1">
        <v>0.805515644216446</v>
      </c>
      <c r="AM16" s="1">
        <v>0.254223245686698</v>
      </c>
      <c r="AN16" s="1">
        <v>0.579228988233899</v>
      </c>
      <c r="AO16" s="1">
        <v>22</v>
      </c>
    </row>
    <row r="17" s="1" customFormat="1" spans="1:41">
      <c r="A17" s="1" t="s">
        <v>40</v>
      </c>
      <c r="B17" s="1" t="s">
        <v>89</v>
      </c>
      <c r="C17" s="1">
        <v>534.999724</v>
      </c>
      <c r="D17" s="1" t="s">
        <v>90</v>
      </c>
      <c r="E17" s="1" t="s">
        <v>91</v>
      </c>
      <c r="F17" s="1" t="s">
        <v>44</v>
      </c>
      <c r="G17" s="1" t="s">
        <v>45</v>
      </c>
      <c r="H17" s="1">
        <v>8</v>
      </c>
      <c r="I17" s="1">
        <v>64</v>
      </c>
      <c r="J17" s="1">
        <v>61</v>
      </c>
      <c r="K17" s="1">
        <v>95.3125</v>
      </c>
      <c r="L17" s="1">
        <v>44</v>
      </c>
      <c r="M17" s="1">
        <v>68.75</v>
      </c>
      <c r="N17" s="1">
        <v>44</v>
      </c>
      <c r="O17" s="1">
        <v>68.75</v>
      </c>
      <c r="P17" s="1">
        <v>-6.63947727272727</v>
      </c>
      <c r="Q17" s="1">
        <f t="shared" si="0"/>
        <v>-292.137</v>
      </c>
      <c r="R17" s="1">
        <v>-6.4605</v>
      </c>
      <c r="S17" s="1">
        <v>-8.34</v>
      </c>
      <c r="T17" s="1">
        <v>-5.7</v>
      </c>
      <c r="U17" s="1">
        <v>-4.48868181818182</v>
      </c>
      <c r="V17" s="1">
        <v>-4.5975</v>
      </c>
      <c r="W17" s="1">
        <v>-4.95815909090909</v>
      </c>
      <c r="X17" s="1">
        <v>-4.9255</v>
      </c>
      <c r="Y17" s="1">
        <v>0.378283897388459</v>
      </c>
      <c r="Z17" s="1">
        <v>0.385641616380649</v>
      </c>
      <c r="AA17" s="1">
        <v>0.682622950819672</v>
      </c>
      <c r="AB17" s="1">
        <v>0.68</v>
      </c>
      <c r="AC17" s="1">
        <v>0.250413261113587</v>
      </c>
      <c r="AD17" s="1">
        <v>0.245042433253394</v>
      </c>
      <c r="AE17" s="1">
        <v>0.763660858121494</v>
      </c>
      <c r="AF17" s="1">
        <v>0.804291176421394</v>
      </c>
      <c r="AG17" s="1" t="s">
        <v>46</v>
      </c>
      <c r="AH17" s="1">
        <v>0.832080647480201</v>
      </c>
      <c r="AI17" s="1" t="s">
        <v>46</v>
      </c>
      <c r="AJ17" s="1" t="s">
        <v>46</v>
      </c>
      <c r="AK17" s="1">
        <v>0.806530172164203</v>
      </c>
      <c r="AL17" s="1">
        <v>0.809108222442589</v>
      </c>
      <c r="AM17" s="1">
        <v>0.393018775360229</v>
      </c>
      <c r="AN17" s="1">
        <v>0.657322048667501</v>
      </c>
      <c r="AO17" s="1">
        <v>23</v>
      </c>
    </row>
    <row r="18" s="1" customFormat="1" spans="1:41">
      <c r="A18" s="1" t="s">
        <v>40</v>
      </c>
      <c r="B18" s="1" t="s">
        <v>92</v>
      </c>
      <c r="C18" s="1">
        <v>1305.684747</v>
      </c>
      <c r="D18" s="1" t="s">
        <v>93</v>
      </c>
      <c r="E18" s="1" t="s">
        <v>94</v>
      </c>
      <c r="F18" s="1" t="s">
        <v>44</v>
      </c>
      <c r="G18" s="1" t="s">
        <v>45</v>
      </c>
      <c r="H18" s="1">
        <v>8</v>
      </c>
      <c r="I18" s="1">
        <v>64</v>
      </c>
      <c r="J18" s="1">
        <v>64</v>
      </c>
      <c r="K18" s="1">
        <v>100</v>
      </c>
      <c r="L18" s="1">
        <v>33</v>
      </c>
      <c r="M18" s="1">
        <v>51.5625</v>
      </c>
      <c r="N18" s="1">
        <v>33</v>
      </c>
      <c r="O18" s="1">
        <v>51.5625</v>
      </c>
      <c r="P18" s="1">
        <v>-9.28560606060606</v>
      </c>
      <c r="Q18" s="1">
        <f t="shared" si="0"/>
        <v>-306.425</v>
      </c>
      <c r="R18" s="1">
        <v>-9.117</v>
      </c>
      <c r="S18" s="1">
        <v>-12.518</v>
      </c>
      <c r="T18" s="1">
        <v>-7.203</v>
      </c>
      <c r="U18" s="1">
        <v>-7.511</v>
      </c>
      <c r="V18" s="1">
        <v>-7.509</v>
      </c>
      <c r="W18" s="1">
        <v>-7.6520303030303</v>
      </c>
      <c r="X18" s="1">
        <v>-7.529</v>
      </c>
      <c r="Y18" s="1">
        <v>0.244999840267887</v>
      </c>
      <c r="Z18" s="1">
        <v>0.234548255096744</v>
      </c>
      <c r="AA18" s="1">
        <v>0.593125</v>
      </c>
      <c r="AB18" s="1">
        <v>0.59</v>
      </c>
      <c r="AC18" s="1">
        <v>0.260596258784205</v>
      </c>
      <c r="AD18" s="1">
        <v>0.263402368547102</v>
      </c>
      <c r="AE18" s="1">
        <v>0.718081161494416</v>
      </c>
      <c r="AF18" s="1">
        <v>0.786420708678192</v>
      </c>
      <c r="AG18" s="1">
        <v>0.770860976000705</v>
      </c>
      <c r="AH18" s="1">
        <v>0.808492697014819</v>
      </c>
      <c r="AI18" s="1">
        <v>0.818626134934219</v>
      </c>
      <c r="AJ18" s="1">
        <v>0.818120050155099</v>
      </c>
      <c r="AK18" s="1">
        <v>0.811113424017653</v>
      </c>
      <c r="AL18" s="1">
        <v>0.821844407490079</v>
      </c>
      <c r="AM18" s="1">
        <v>0.242089918204218</v>
      </c>
      <c r="AN18" s="1">
        <v>0.574175339875163</v>
      </c>
      <c r="AO18" s="1">
        <v>24</v>
      </c>
    </row>
    <row r="19" s="1" customFormat="1" spans="1:41">
      <c r="A19" s="1" t="s">
        <v>40</v>
      </c>
      <c r="B19" s="1" t="s">
        <v>95</v>
      </c>
      <c r="C19" s="1">
        <v>465.165725</v>
      </c>
      <c r="D19" s="1" t="s">
        <v>96</v>
      </c>
      <c r="E19" s="1" t="s">
        <v>97</v>
      </c>
      <c r="F19" s="1" t="s">
        <v>44</v>
      </c>
      <c r="G19" s="1" t="s">
        <v>45</v>
      </c>
      <c r="H19" s="1">
        <v>8</v>
      </c>
      <c r="I19" s="1">
        <v>64</v>
      </c>
      <c r="J19" s="1">
        <v>64</v>
      </c>
      <c r="K19" s="1">
        <v>100</v>
      </c>
      <c r="L19" s="1">
        <v>38</v>
      </c>
      <c r="M19" s="1">
        <v>59.375</v>
      </c>
      <c r="N19" s="1">
        <v>38</v>
      </c>
      <c r="O19" s="1">
        <v>59.375</v>
      </c>
      <c r="P19" s="1">
        <v>-5.98263157894737</v>
      </c>
      <c r="Q19" s="1">
        <f t="shared" si="0"/>
        <v>-227.34</v>
      </c>
      <c r="R19" s="1">
        <v>-5.6665</v>
      </c>
      <c r="S19" s="1">
        <v>-9.298</v>
      </c>
      <c r="T19" s="1">
        <v>-4.511</v>
      </c>
      <c r="U19" s="1">
        <v>-4.04747368421053</v>
      </c>
      <c r="V19" s="1">
        <v>-4.0335</v>
      </c>
      <c r="W19" s="1">
        <v>-4.4095</v>
      </c>
      <c r="X19" s="1">
        <v>-4.252</v>
      </c>
      <c r="Y19" s="1">
        <v>0.423331054377756</v>
      </c>
      <c r="Z19" s="1">
        <v>0.467774019556443</v>
      </c>
      <c r="AA19" s="1">
        <v>0.7459375</v>
      </c>
      <c r="AB19" s="1">
        <v>0.75</v>
      </c>
      <c r="AC19" s="1">
        <v>0.236269132774288</v>
      </c>
      <c r="AD19" s="1">
        <v>0.245579544597051</v>
      </c>
      <c r="AE19" s="1">
        <v>0.759662923247085</v>
      </c>
      <c r="AF19" s="1">
        <v>0.814436851066191</v>
      </c>
      <c r="AG19" s="1" t="s">
        <v>46</v>
      </c>
      <c r="AH19" s="1">
        <v>0.803700329691098</v>
      </c>
      <c r="AI19" s="1">
        <v>0.821815690400747</v>
      </c>
      <c r="AJ19" s="1" t="s">
        <v>46</v>
      </c>
      <c r="AK19" s="1">
        <v>0.819145508793417</v>
      </c>
      <c r="AL19" s="1">
        <v>0.818888749935708</v>
      </c>
      <c r="AM19" s="1">
        <v>0.404305596546386</v>
      </c>
      <c r="AN19" s="1">
        <v>0.668397058069021</v>
      </c>
      <c r="AO19" s="1">
        <v>3</v>
      </c>
    </row>
    <row r="20" s="1" customFormat="1" spans="1:41">
      <c r="A20" s="1" t="s">
        <v>40</v>
      </c>
      <c r="B20" s="1" t="s">
        <v>98</v>
      </c>
      <c r="C20" s="1">
        <v>1549.775681</v>
      </c>
      <c r="D20" s="1" t="s">
        <v>99</v>
      </c>
      <c r="E20" s="1" t="s">
        <v>100</v>
      </c>
      <c r="F20" s="1" t="s">
        <v>44</v>
      </c>
      <c r="G20" s="1" t="s">
        <v>45</v>
      </c>
      <c r="H20" s="1">
        <v>8</v>
      </c>
      <c r="I20" s="1">
        <v>64</v>
      </c>
      <c r="J20" s="1">
        <v>64</v>
      </c>
      <c r="K20" s="1">
        <v>100</v>
      </c>
      <c r="L20" s="1">
        <v>51</v>
      </c>
      <c r="M20" s="1">
        <v>79.6875</v>
      </c>
      <c r="N20" s="1">
        <v>51</v>
      </c>
      <c r="O20" s="1">
        <v>79.6875</v>
      </c>
      <c r="P20" s="1">
        <v>-10.2029411764706</v>
      </c>
      <c r="Q20" s="1">
        <f t="shared" si="0"/>
        <v>-520.350000000001</v>
      </c>
      <c r="R20" s="1">
        <v>-10.289</v>
      </c>
      <c r="S20" s="1">
        <v>-15.915</v>
      </c>
      <c r="T20" s="1">
        <v>-4.737</v>
      </c>
      <c r="U20" s="1">
        <v>-9.0283137254902</v>
      </c>
      <c r="V20" s="1">
        <v>-8.788</v>
      </c>
      <c r="W20" s="1">
        <v>-9.28670588235294</v>
      </c>
      <c r="X20" s="1">
        <v>-9.359</v>
      </c>
      <c r="Y20" s="1">
        <v>0.208943434356627</v>
      </c>
      <c r="Z20" s="1">
        <v>0.198947227827964</v>
      </c>
      <c r="AA20" s="1">
        <v>0.54390625</v>
      </c>
      <c r="AB20" s="1">
        <v>0.54</v>
      </c>
      <c r="AC20" s="1">
        <v>0.290078856002893</v>
      </c>
      <c r="AD20" s="1">
        <v>0.292898442339713</v>
      </c>
      <c r="AE20" s="1">
        <v>0.761763388427541</v>
      </c>
      <c r="AF20" s="1">
        <v>0.805781135589359</v>
      </c>
      <c r="AG20" s="1">
        <v>0.811603049144299</v>
      </c>
      <c r="AH20" s="1">
        <v>0.771676471113008</v>
      </c>
      <c r="AI20" s="1">
        <v>0.804868398490789</v>
      </c>
      <c r="AJ20" s="1">
        <v>0.80876050849439</v>
      </c>
      <c r="AK20" s="1">
        <v>0.806937165870349</v>
      </c>
      <c r="AL20" s="1">
        <v>0.810092079196226</v>
      </c>
      <c r="AM20" s="1">
        <v>0.306244149339076</v>
      </c>
      <c r="AN20" s="1">
        <v>0.655528957048375</v>
      </c>
      <c r="AO20" s="1">
        <v>4</v>
      </c>
    </row>
    <row r="21" s="1" customFormat="1" spans="1:41">
      <c r="A21" s="1" t="s">
        <v>40</v>
      </c>
      <c r="B21" s="1" t="s">
        <v>101</v>
      </c>
      <c r="C21" s="1">
        <v>379.806597</v>
      </c>
      <c r="D21" s="1" t="s">
        <v>102</v>
      </c>
      <c r="E21" s="1" t="s">
        <v>103</v>
      </c>
      <c r="F21" s="1" t="s">
        <v>44</v>
      </c>
      <c r="G21" s="1" t="s">
        <v>45</v>
      </c>
      <c r="H21" s="1">
        <v>8</v>
      </c>
      <c r="I21" s="1">
        <v>64</v>
      </c>
      <c r="J21" s="1">
        <v>62</v>
      </c>
      <c r="K21" s="1">
        <v>96.875</v>
      </c>
      <c r="L21" s="1">
        <v>37</v>
      </c>
      <c r="M21" s="1">
        <v>57.8125</v>
      </c>
      <c r="N21" s="1">
        <v>37</v>
      </c>
      <c r="O21" s="1">
        <v>57.8125</v>
      </c>
      <c r="P21" s="1">
        <v>-5.96924324324324</v>
      </c>
      <c r="Q21" s="1">
        <f t="shared" si="0"/>
        <v>-220.862</v>
      </c>
      <c r="R21" s="1">
        <v>-5.984</v>
      </c>
      <c r="S21" s="1">
        <v>-8.174</v>
      </c>
      <c r="T21" s="1">
        <v>-4.843</v>
      </c>
      <c r="U21" s="1">
        <v>-3.56948648648649</v>
      </c>
      <c r="V21" s="1">
        <v>-3.447</v>
      </c>
      <c r="W21" s="1">
        <v>-4.08197297297297</v>
      </c>
      <c r="X21" s="1">
        <v>-4.02</v>
      </c>
      <c r="Y21" s="1">
        <v>0.444030576416963</v>
      </c>
      <c r="Z21" s="1">
        <v>0.47447248797161</v>
      </c>
      <c r="AA21" s="1">
        <v>0.656129032258065</v>
      </c>
      <c r="AB21" s="1">
        <v>0.65</v>
      </c>
      <c r="AC21" s="1">
        <v>0.254481590211724</v>
      </c>
      <c r="AD21" s="1">
        <v>0.24759620921701</v>
      </c>
      <c r="AE21" s="1">
        <v>0.772084412646906</v>
      </c>
      <c r="AF21" s="1">
        <v>0.814807973254997</v>
      </c>
      <c r="AG21" s="1">
        <v>0.804252479636561</v>
      </c>
      <c r="AH21" s="1">
        <v>0.807587350087681</v>
      </c>
      <c r="AI21" s="1">
        <v>0.817428938920951</v>
      </c>
      <c r="AJ21" s="1" t="s">
        <v>46</v>
      </c>
      <c r="AK21" s="1">
        <v>0.815665066567431</v>
      </c>
      <c r="AL21" s="1">
        <v>0.802087648557479</v>
      </c>
      <c r="AM21" s="1">
        <v>0.416239132776728</v>
      </c>
      <c r="AN21" s="1">
        <v>0.687582031889164</v>
      </c>
      <c r="AO21" s="1">
        <v>5</v>
      </c>
    </row>
    <row r="22" s="1" customFormat="1" spans="1:41">
      <c r="A22" s="1" t="s">
        <v>40</v>
      </c>
      <c r="B22" s="1" t="s">
        <v>104</v>
      </c>
      <c r="C22" s="1">
        <v>1252.517342</v>
      </c>
      <c r="D22" s="1" t="s">
        <v>105</v>
      </c>
      <c r="E22" s="1" t="s">
        <v>106</v>
      </c>
      <c r="F22" s="1" t="s">
        <v>44</v>
      </c>
      <c r="G22" s="1" t="s">
        <v>45</v>
      </c>
      <c r="H22" s="1">
        <v>8</v>
      </c>
      <c r="I22" s="1">
        <v>64</v>
      </c>
      <c r="J22" s="1">
        <v>64</v>
      </c>
      <c r="K22" s="1">
        <v>100</v>
      </c>
      <c r="L22" s="1">
        <v>47</v>
      </c>
      <c r="M22" s="1">
        <v>73.4375</v>
      </c>
      <c r="N22" s="1">
        <v>47</v>
      </c>
      <c r="O22" s="1">
        <v>73.4375</v>
      </c>
      <c r="P22" s="1">
        <v>-8.15736170212766</v>
      </c>
      <c r="Q22" s="1">
        <f t="shared" si="0"/>
        <v>-383.396</v>
      </c>
      <c r="R22" s="1">
        <v>-7.629</v>
      </c>
      <c r="S22" s="1">
        <v>-11.425</v>
      </c>
      <c r="T22" s="1">
        <v>-5.854</v>
      </c>
      <c r="U22" s="1">
        <v>-4.28008510638298</v>
      </c>
      <c r="V22" s="1">
        <v>-5.953</v>
      </c>
      <c r="W22" s="1">
        <v>-6.57202127659575</v>
      </c>
      <c r="X22" s="1">
        <v>-6.377</v>
      </c>
      <c r="Y22" s="1">
        <v>0.304315143112554</v>
      </c>
      <c r="Z22" s="1">
        <v>0.291642883917797</v>
      </c>
      <c r="AA22" s="1">
        <v>0.63421875</v>
      </c>
      <c r="AB22" s="1">
        <v>0.63</v>
      </c>
      <c r="AC22" s="1">
        <v>0.18020646189066</v>
      </c>
      <c r="AD22" s="1">
        <v>0.160754921139319</v>
      </c>
      <c r="AE22" s="1">
        <v>0.745360426919976</v>
      </c>
      <c r="AF22" s="1">
        <v>0.808510667343769</v>
      </c>
      <c r="AG22" s="1">
        <v>0.784825069017528</v>
      </c>
      <c r="AH22" s="1">
        <v>0.79943212532684</v>
      </c>
      <c r="AI22" s="1">
        <v>0.817599883323454</v>
      </c>
      <c r="AJ22" s="1">
        <v>0.813730663844897</v>
      </c>
      <c r="AK22" s="1">
        <v>0.809196602580126</v>
      </c>
      <c r="AL22" s="1">
        <v>0.803883910797325</v>
      </c>
      <c r="AM22" s="1">
        <v>0.312775783691572</v>
      </c>
      <c r="AN22" s="1">
        <v>0.636241428988118</v>
      </c>
      <c r="AO22" s="1">
        <v>6</v>
      </c>
    </row>
    <row r="23" s="1" customFormat="1" spans="1:41">
      <c r="A23" s="1" t="s">
        <v>40</v>
      </c>
      <c r="B23" s="1" t="s">
        <v>107</v>
      </c>
      <c r="C23" s="1">
        <v>1871.103226</v>
      </c>
      <c r="D23" s="1" t="s">
        <v>108</v>
      </c>
      <c r="E23" s="1" t="s">
        <v>109</v>
      </c>
      <c r="F23" s="1" t="s">
        <v>44</v>
      </c>
      <c r="G23" s="1" t="s">
        <v>45</v>
      </c>
      <c r="H23" s="1">
        <v>8</v>
      </c>
      <c r="I23" s="1">
        <v>64</v>
      </c>
      <c r="J23" s="1">
        <v>62</v>
      </c>
      <c r="K23" s="1">
        <v>96.875</v>
      </c>
      <c r="L23" s="1">
        <v>31</v>
      </c>
      <c r="M23" s="1">
        <v>48.4375</v>
      </c>
      <c r="N23" s="1">
        <v>31</v>
      </c>
      <c r="O23" s="1">
        <v>48.4375</v>
      </c>
      <c r="P23" s="1">
        <v>-9.01309677419355</v>
      </c>
      <c r="Q23" s="1">
        <f t="shared" si="0"/>
        <v>-279.406</v>
      </c>
      <c r="R23" s="1">
        <v>-9.096</v>
      </c>
      <c r="S23" s="1">
        <v>-10.443</v>
      </c>
      <c r="T23" s="1">
        <v>-6.689</v>
      </c>
      <c r="U23" s="1">
        <v>-7.34270967741936</v>
      </c>
      <c r="V23" s="1">
        <v>-7.237</v>
      </c>
      <c r="W23" s="1">
        <v>-7.47077419354839</v>
      </c>
      <c r="X23" s="1">
        <v>-7.435</v>
      </c>
      <c r="Y23" s="1">
        <v>0.162252231422272</v>
      </c>
      <c r="Z23" s="1">
        <v>0.121875507902141</v>
      </c>
      <c r="AA23" s="1">
        <v>0.482096774193549</v>
      </c>
      <c r="AB23" s="1">
        <v>0.47</v>
      </c>
      <c r="AC23" s="1">
        <v>0.173764527518647</v>
      </c>
      <c r="AD23" s="1">
        <v>0.161835607853539</v>
      </c>
      <c r="AE23" s="1">
        <v>0.731501740433983</v>
      </c>
      <c r="AF23" s="1">
        <v>0.792934903843728</v>
      </c>
      <c r="AG23" s="1">
        <v>0.832091183621321</v>
      </c>
      <c r="AH23" s="1">
        <v>0.786582979548674</v>
      </c>
      <c r="AI23" s="1">
        <v>0.820735893579119</v>
      </c>
      <c r="AJ23" s="1">
        <v>0.772628770192784</v>
      </c>
      <c r="AK23" s="1">
        <v>0.808066854554722</v>
      </c>
      <c r="AL23" s="1">
        <v>0.808998380242042</v>
      </c>
      <c r="AM23" s="1">
        <v>0.254071011502287</v>
      </c>
      <c r="AN23" s="1">
        <v>0.605727353756224</v>
      </c>
      <c r="AO23" s="1">
        <v>7</v>
      </c>
    </row>
    <row r="24" s="1" customFormat="1" spans="1:41">
      <c r="A24" s="1" t="s">
        <v>40</v>
      </c>
      <c r="B24" s="1" t="s">
        <v>110</v>
      </c>
      <c r="C24" s="1">
        <v>809.836946</v>
      </c>
      <c r="D24" s="1" t="s">
        <v>111</v>
      </c>
      <c r="E24" s="1" t="s">
        <v>112</v>
      </c>
      <c r="F24" s="1" t="s">
        <v>44</v>
      </c>
      <c r="G24" s="1" t="s">
        <v>45</v>
      </c>
      <c r="H24" s="1">
        <v>8</v>
      </c>
      <c r="I24" s="1">
        <v>64</v>
      </c>
      <c r="J24" s="1">
        <v>63</v>
      </c>
      <c r="K24" s="1">
        <v>98.4375</v>
      </c>
      <c r="L24" s="1">
        <v>53</v>
      </c>
      <c r="M24" s="1">
        <v>82.8125</v>
      </c>
      <c r="N24" s="1">
        <v>53</v>
      </c>
      <c r="O24" s="1">
        <v>82.8125</v>
      </c>
      <c r="P24" s="1">
        <v>-7.71043396226415</v>
      </c>
      <c r="Q24" s="1">
        <f t="shared" si="0"/>
        <v>-408.653</v>
      </c>
      <c r="R24" s="1">
        <v>-7.081</v>
      </c>
      <c r="S24" s="1">
        <v>-16.447</v>
      </c>
      <c r="T24" s="1">
        <v>-5.253</v>
      </c>
      <c r="U24" s="1">
        <v>-5.92766037735849</v>
      </c>
      <c r="V24" s="1">
        <v>-5.523</v>
      </c>
      <c r="W24" s="1">
        <v>-6.39367924528302</v>
      </c>
      <c r="X24" s="1">
        <v>-6.027</v>
      </c>
      <c r="Y24" s="1">
        <v>0.411645610150766</v>
      </c>
      <c r="Z24" s="1">
        <v>0.447841114124501</v>
      </c>
      <c r="AA24" s="1">
        <v>0.692539682539682</v>
      </c>
      <c r="AB24" s="1">
        <v>0.71</v>
      </c>
      <c r="AC24" s="1">
        <v>0.250718462541652</v>
      </c>
      <c r="AD24" s="1">
        <v>0.245042433253394</v>
      </c>
      <c r="AE24" s="1">
        <v>0.759502247186303</v>
      </c>
      <c r="AF24" s="1">
        <v>0.793928310588551</v>
      </c>
      <c r="AG24" s="1">
        <v>0.789179553656024</v>
      </c>
      <c r="AH24" s="1">
        <v>0.795003398514713</v>
      </c>
      <c r="AI24" s="1">
        <v>0.816637034207522</v>
      </c>
      <c r="AJ24" s="1">
        <v>0.771598137034652</v>
      </c>
      <c r="AK24" s="1">
        <v>0.812419994800703</v>
      </c>
      <c r="AL24" s="1">
        <v>0.810278298841705</v>
      </c>
      <c r="AM24" s="1">
        <v>0.38373930474619</v>
      </c>
      <c r="AN24" s="1">
        <v>0.637053465071268</v>
      </c>
      <c r="AO24" s="1">
        <v>8</v>
      </c>
    </row>
    <row r="25" s="1" customFormat="1" spans="1:41">
      <c r="A25" s="1" t="s">
        <v>40</v>
      </c>
      <c r="B25" s="1" t="s">
        <v>113</v>
      </c>
      <c r="C25" s="1">
        <v>1968.603416</v>
      </c>
      <c r="D25" s="1" t="s">
        <v>114</v>
      </c>
      <c r="E25" s="1" t="s">
        <v>115</v>
      </c>
      <c r="F25" s="1" t="s">
        <v>44</v>
      </c>
      <c r="G25" s="1" t="s">
        <v>45</v>
      </c>
      <c r="H25" s="1">
        <v>8</v>
      </c>
      <c r="I25" s="1">
        <v>64</v>
      </c>
      <c r="J25" s="1">
        <v>62</v>
      </c>
      <c r="K25" s="1">
        <v>96.875</v>
      </c>
      <c r="L25" s="1">
        <v>52</v>
      </c>
      <c r="M25" s="1">
        <v>81.25</v>
      </c>
      <c r="N25" s="1">
        <v>52</v>
      </c>
      <c r="O25" s="1">
        <v>81.25</v>
      </c>
      <c r="P25" s="1">
        <v>-7.10048076923077</v>
      </c>
      <c r="Q25" s="1">
        <f t="shared" si="0"/>
        <v>-369.225</v>
      </c>
      <c r="R25" s="1">
        <v>-6.972</v>
      </c>
      <c r="S25" s="1">
        <v>-10.005</v>
      </c>
      <c r="T25" s="1">
        <v>-5.312</v>
      </c>
      <c r="U25" s="1">
        <v>-5.50567307692308</v>
      </c>
      <c r="V25" s="1">
        <v>-5.3305</v>
      </c>
      <c r="W25" s="1">
        <v>-5.82244230769231</v>
      </c>
      <c r="X25" s="1">
        <v>-5.635</v>
      </c>
      <c r="Y25" s="1">
        <v>0.228769571132538</v>
      </c>
      <c r="Z25" s="1">
        <v>0.211158554534913</v>
      </c>
      <c r="AA25" s="1">
        <v>0.564677419354839</v>
      </c>
      <c r="AB25" s="1">
        <v>0.55</v>
      </c>
      <c r="AC25" s="1">
        <v>0.16842613047035</v>
      </c>
      <c r="AD25" s="1">
        <v>0.156843937579524</v>
      </c>
      <c r="AE25" s="1">
        <v>0.734870783130438</v>
      </c>
      <c r="AF25" s="1">
        <v>0.801029865175039</v>
      </c>
      <c r="AG25" s="1">
        <v>0.821303546874835</v>
      </c>
      <c r="AH25" s="1">
        <v>0.778035421046975</v>
      </c>
      <c r="AI25" s="1">
        <v>0.811258917459958</v>
      </c>
      <c r="AJ25" s="1">
        <v>0.81312225484771</v>
      </c>
      <c r="AK25" s="1">
        <v>0.810506063681451</v>
      </c>
      <c r="AL25" s="1">
        <v>0.799338634078517</v>
      </c>
      <c r="AM25" s="1">
        <v>0.265041112318353</v>
      </c>
      <c r="AN25" s="1">
        <v>0.620200367884232</v>
      </c>
      <c r="AO25" s="1">
        <v>9</v>
      </c>
    </row>
    <row r="26" s="1" customFormat="1" spans="1:41">
      <c r="A26" s="1" t="s">
        <v>116</v>
      </c>
      <c r="B26" s="1" t="s">
        <v>117</v>
      </c>
      <c r="C26" s="1">
        <v>890.015048</v>
      </c>
      <c r="D26" s="1" t="s">
        <v>118</v>
      </c>
      <c r="E26" s="1" t="s">
        <v>119</v>
      </c>
      <c r="F26" s="1" t="s">
        <v>44</v>
      </c>
      <c r="G26" s="1" t="s">
        <v>45</v>
      </c>
      <c r="H26" s="1">
        <v>8</v>
      </c>
      <c r="I26" s="1">
        <v>64</v>
      </c>
      <c r="J26" s="1">
        <v>64</v>
      </c>
      <c r="K26" s="1">
        <v>100</v>
      </c>
      <c r="L26" s="1">
        <v>57</v>
      </c>
      <c r="M26" s="1">
        <v>89.0625</v>
      </c>
      <c r="N26" s="1">
        <v>57</v>
      </c>
      <c r="O26" s="1">
        <v>89.0625</v>
      </c>
      <c r="P26" s="1">
        <v>-6.59954385964912</v>
      </c>
      <c r="Q26" s="1">
        <f t="shared" si="0"/>
        <v>-376.174</v>
      </c>
      <c r="R26" s="1">
        <v>-6.173</v>
      </c>
      <c r="S26" s="1">
        <v>-11.294</v>
      </c>
      <c r="T26" s="1">
        <v>-4.777</v>
      </c>
      <c r="U26" s="1">
        <v>-5.01698245614035</v>
      </c>
      <c r="V26" s="1">
        <v>-4.675</v>
      </c>
      <c r="W26" s="1">
        <v>-5.22633333333333</v>
      </c>
      <c r="X26" s="1">
        <v>-4.908</v>
      </c>
      <c r="Y26" s="1">
        <v>0.366541002304367</v>
      </c>
      <c r="Z26" s="1">
        <v>0.370138385536711</v>
      </c>
      <c r="AA26" s="1">
        <v>0.6271875</v>
      </c>
      <c r="AB26" s="1">
        <v>0.605</v>
      </c>
      <c r="AC26" s="1">
        <v>0.220523944632304</v>
      </c>
      <c r="AD26" s="1">
        <v>0.204935989911435</v>
      </c>
      <c r="AE26" s="1">
        <v>0.766584110257571</v>
      </c>
      <c r="AF26" s="1">
        <v>0.809958721698275</v>
      </c>
      <c r="AG26" s="1">
        <v>0.784130192720544</v>
      </c>
      <c r="AH26" s="1">
        <v>0.790325294455817</v>
      </c>
      <c r="AI26" s="1">
        <v>0.809143101665353</v>
      </c>
      <c r="AJ26" s="1">
        <v>0.802752719176814</v>
      </c>
      <c r="AK26" s="1">
        <v>0.806779703016859</v>
      </c>
      <c r="AL26" s="1">
        <v>0.819936354189639</v>
      </c>
      <c r="AM26" s="1">
        <v>0.378390498217239</v>
      </c>
      <c r="AN26" s="1">
        <v>0.676440494955744</v>
      </c>
      <c r="AO26" s="1">
        <v>25</v>
      </c>
    </row>
    <row r="27" s="1" customFormat="1" spans="1:41">
      <c r="A27" s="1" t="s">
        <v>120</v>
      </c>
      <c r="B27" s="1" t="s">
        <v>121</v>
      </c>
      <c r="C27" s="1">
        <v>1969.937586</v>
      </c>
      <c r="D27" s="1" t="s">
        <v>122</v>
      </c>
      <c r="E27" s="1" t="s">
        <v>123</v>
      </c>
      <c r="F27" s="1" t="s">
        <v>44</v>
      </c>
      <c r="G27" s="1" t="s">
        <v>45</v>
      </c>
      <c r="H27" s="1">
        <v>8</v>
      </c>
      <c r="I27" s="1">
        <v>64</v>
      </c>
      <c r="J27" s="1">
        <v>55</v>
      </c>
      <c r="K27" s="1">
        <v>85.9375</v>
      </c>
      <c r="L27" s="1">
        <v>46</v>
      </c>
      <c r="M27" s="1">
        <v>71.875</v>
      </c>
      <c r="N27" s="1">
        <v>46</v>
      </c>
      <c r="O27" s="1">
        <v>71.875</v>
      </c>
      <c r="P27" s="1">
        <v>-8.81308695652174</v>
      </c>
      <c r="Q27" s="1">
        <f t="shared" si="0"/>
        <v>-405.402</v>
      </c>
      <c r="R27" s="1">
        <v>-8.8105</v>
      </c>
      <c r="S27" s="1">
        <v>-10.874</v>
      </c>
      <c r="T27" s="1">
        <v>-6.779</v>
      </c>
      <c r="U27" s="1">
        <v>-6.15569565217391</v>
      </c>
      <c r="V27" s="1">
        <v>-6.842</v>
      </c>
      <c r="W27" s="1">
        <v>-6.73410869565217</v>
      </c>
      <c r="X27" s="1">
        <v>-6.967</v>
      </c>
      <c r="Y27" s="1">
        <v>0.196343774603053</v>
      </c>
      <c r="Z27" s="1">
        <v>0.165099762951752</v>
      </c>
      <c r="AA27" s="1">
        <v>0.510545454545454</v>
      </c>
      <c r="AB27" s="1">
        <v>0.52</v>
      </c>
      <c r="AC27" s="1">
        <v>0.165751810625237</v>
      </c>
      <c r="AD27" s="1">
        <v>0.160642168585433</v>
      </c>
      <c r="AE27" s="1">
        <v>0.733121150615737</v>
      </c>
      <c r="AF27" s="1">
        <v>0.807533128584464</v>
      </c>
      <c r="AG27" s="1">
        <v>0.818396154981893</v>
      </c>
      <c r="AH27" s="1">
        <v>0.782223118663595</v>
      </c>
      <c r="AI27" s="1">
        <v>0.806184977717969</v>
      </c>
      <c r="AJ27" s="1">
        <v>0.809846716334051</v>
      </c>
      <c r="AK27" s="1">
        <v>0.803600483735839</v>
      </c>
      <c r="AL27" s="1">
        <v>0.810498896494308</v>
      </c>
      <c r="AM27" s="1">
        <v>0.270744592554725</v>
      </c>
      <c r="AN27" s="1">
        <v>0.633673645689406</v>
      </c>
      <c r="AO27" s="1">
        <v>26</v>
      </c>
    </row>
    <row r="28" s="1" customFormat="1" spans="1:41">
      <c r="A28" s="1" t="s">
        <v>124</v>
      </c>
      <c r="B28" s="1" t="s">
        <v>125</v>
      </c>
      <c r="C28" s="1">
        <v>1524.250786</v>
      </c>
      <c r="D28" s="1" t="s">
        <v>126</v>
      </c>
      <c r="E28" s="1" t="s">
        <v>127</v>
      </c>
      <c r="F28" s="1" t="s">
        <v>44</v>
      </c>
      <c r="G28" s="1" t="s">
        <v>45</v>
      </c>
      <c r="H28" s="1">
        <v>8</v>
      </c>
      <c r="I28" s="1">
        <v>64</v>
      </c>
      <c r="J28" s="1">
        <v>61</v>
      </c>
      <c r="K28" s="1">
        <v>95.3125</v>
      </c>
      <c r="L28" s="1">
        <v>43</v>
      </c>
      <c r="M28" s="1">
        <v>67.1875</v>
      </c>
      <c r="N28" s="1">
        <v>43</v>
      </c>
      <c r="O28" s="1">
        <v>67.1875</v>
      </c>
      <c r="P28" s="1">
        <v>-9.30725581395349</v>
      </c>
      <c r="Q28" s="1">
        <f t="shared" si="0"/>
        <v>-400.212</v>
      </c>
      <c r="R28" s="1">
        <v>-9.212</v>
      </c>
      <c r="S28" s="1">
        <v>-13.955</v>
      </c>
      <c r="T28" s="1">
        <v>-6.372</v>
      </c>
      <c r="U28" s="1">
        <v>-7.64137209302326</v>
      </c>
      <c r="V28" s="1">
        <v>-7.638</v>
      </c>
      <c r="W28" s="1">
        <v>-8.03288372093023</v>
      </c>
      <c r="X28" s="1">
        <v>-7.685</v>
      </c>
      <c r="Y28" s="1">
        <v>0.229561667412117</v>
      </c>
      <c r="Z28" s="1">
        <v>0.198429953395077</v>
      </c>
      <c r="AA28" s="1">
        <v>0.575573770491803</v>
      </c>
      <c r="AB28" s="1">
        <v>0.58</v>
      </c>
      <c r="AC28" s="1">
        <v>0.180274480728427</v>
      </c>
      <c r="AD28" s="1">
        <v>0.169375743862425</v>
      </c>
      <c r="AE28" s="1">
        <v>0.724175101373724</v>
      </c>
      <c r="AF28" s="1">
        <v>0.799954658960871</v>
      </c>
      <c r="AG28" s="1">
        <v>0.790300190563453</v>
      </c>
      <c r="AH28" s="1">
        <v>0.794133104531654</v>
      </c>
      <c r="AI28" s="1">
        <v>0.820119630122729</v>
      </c>
      <c r="AJ28" s="1" t="s">
        <v>46</v>
      </c>
      <c r="AK28" s="1">
        <v>0.806714086600983</v>
      </c>
      <c r="AL28" s="1">
        <v>0.803278379470574</v>
      </c>
      <c r="AM28" s="1">
        <v>0.275476391025108</v>
      </c>
      <c r="AN28" s="1">
        <v>0.598875841268413</v>
      </c>
      <c r="AO28" s="1">
        <v>27</v>
      </c>
    </row>
    <row r="29" s="1" customFormat="1" spans="1:41">
      <c r="A29" s="1" t="s">
        <v>128</v>
      </c>
      <c r="B29" s="1" t="s">
        <v>129</v>
      </c>
      <c r="C29" s="1">
        <v>737.85113</v>
      </c>
      <c r="D29" s="1" t="s">
        <v>130</v>
      </c>
      <c r="E29" s="1" t="s">
        <v>131</v>
      </c>
      <c r="F29" s="1" t="s">
        <v>44</v>
      </c>
      <c r="G29" s="1" t="s">
        <v>45</v>
      </c>
      <c r="H29" s="1">
        <v>8</v>
      </c>
      <c r="I29" s="1">
        <v>64</v>
      </c>
      <c r="J29" s="1">
        <v>64</v>
      </c>
      <c r="K29" s="1">
        <v>100</v>
      </c>
      <c r="L29" s="1">
        <v>48</v>
      </c>
      <c r="M29" s="1">
        <v>75</v>
      </c>
      <c r="N29" s="1">
        <v>48</v>
      </c>
      <c r="O29" s="1">
        <v>75</v>
      </c>
      <c r="P29" s="1">
        <v>-6.035875</v>
      </c>
      <c r="Q29" s="1">
        <f t="shared" si="0"/>
        <v>-289.722</v>
      </c>
      <c r="R29" s="1">
        <v>-6.0205</v>
      </c>
      <c r="S29" s="1">
        <v>-7.819</v>
      </c>
      <c r="T29" s="1">
        <v>-3.772</v>
      </c>
      <c r="U29" s="1">
        <v>-3.3280625</v>
      </c>
      <c r="V29" s="1">
        <v>-3.373</v>
      </c>
      <c r="W29" s="1">
        <v>-3.64847916666667</v>
      </c>
      <c r="X29" s="1">
        <v>-3.8585</v>
      </c>
      <c r="Y29" s="1">
        <v>0.481414247951536</v>
      </c>
      <c r="Z29" s="1">
        <v>0.453692451760793</v>
      </c>
      <c r="AA29" s="1">
        <v>0.6003125</v>
      </c>
      <c r="AB29" s="1">
        <v>0.57</v>
      </c>
      <c r="AC29" s="1">
        <v>0.233824518926061</v>
      </c>
      <c r="AD29" s="1">
        <v>0.245500684513735</v>
      </c>
      <c r="AE29" s="1">
        <v>0.750324167998045</v>
      </c>
      <c r="AF29" s="1">
        <v>0.799620962955901</v>
      </c>
      <c r="AG29" s="1">
        <v>0.825561163095842</v>
      </c>
      <c r="AH29" s="1">
        <v>0.807682742631344</v>
      </c>
      <c r="AI29" s="1">
        <v>0.819177789692039</v>
      </c>
      <c r="AJ29" s="1" t="s">
        <v>46</v>
      </c>
      <c r="AK29" s="1">
        <v>0.799650114262641</v>
      </c>
      <c r="AL29" s="1">
        <v>0.810485668210546</v>
      </c>
      <c r="AM29" s="1">
        <v>0.328887799694852</v>
      </c>
      <c r="AN29" s="1">
        <v>0.629553545928086</v>
      </c>
      <c r="AO29" s="1">
        <v>28</v>
      </c>
    </row>
    <row r="30" s="1" customFormat="1" spans="1:41">
      <c r="A30" s="1" t="s">
        <v>132</v>
      </c>
      <c r="B30" s="1" t="s">
        <v>133</v>
      </c>
      <c r="C30" s="1">
        <v>821.37613</v>
      </c>
      <c r="D30" s="1" t="s">
        <v>134</v>
      </c>
      <c r="E30" s="1" t="s">
        <v>135</v>
      </c>
      <c r="F30" s="1" t="s">
        <v>44</v>
      </c>
      <c r="G30" s="1" t="s">
        <v>45</v>
      </c>
      <c r="H30" s="1">
        <v>8</v>
      </c>
      <c r="I30" s="1">
        <v>64</v>
      </c>
      <c r="J30" s="1">
        <v>63</v>
      </c>
      <c r="K30" s="1">
        <v>98.4375</v>
      </c>
      <c r="L30" s="1">
        <v>43</v>
      </c>
      <c r="M30" s="1">
        <v>67.1875</v>
      </c>
      <c r="N30" s="1">
        <v>43</v>
      </c>
      <c r="O30" s="1">
        <v>67.1875</v>
      </c>
      <c r="P30" s="1">
        <v>-7.00290697674418</v>
      </c>
      <c r="Q30" s="1">
        <f t="shared" si="0"/>
        <v>-301.125</v>
      </c>
      <c r="R30" s="1">
        <v>-7.09</v>
      </c>
      <c r="S30" s="1">
        <v>-9.034</v>
      </c>
      <c r="T30" s="1">
        <v>-4.396</v>
      </c>
      <c r="U30" s="1">
        <v>-3.9166511627907</v>
      </c>
      <c r="V30" s="1">
        <v>-3.921</v>
      </c>
      <c r="W30" s="1">
        <v>-4.68644186046512</v>
      </c>
      <c r="X30" s="1">
        <v>-4.525</v>
      </c>
      <c r="Y30" s="1">
        <v>0.37369035543855</v>
      </c>
      <c r="Z30" s="1">
        <v>0.363831309096769</v>
      </c>
      <c r="AA30" s="1">
        <v>0.65031746031746</v>
      </c>
      <c r="AB30" s="1">
        <v>0.64</v>
      </c>
      <c r="AC30" s="1">
        <v>0.195298945989971</v>
      </c>
      <c r="AD30" s="1">
        <v>0.177907644311562</v>
      </c>
      <c r="AE30" s="1">
        <v>0.7741595659123</v>
      </c>
      <c r="AF30" s="1">
        <v>0.812306856597793</v>
      </c>
      <c r="AG30" s="1">
        <v>0.807311669051637</v>
      </c>
      <c r="AH30" s="1">
        <v>0.804794677433144</v>
      </c>
      <c r="AI30" s="1">
        <v>0.818456152645445</v>
      </c>
      <c r="AJ30" s="1">
        <v>0.826494004485885</v>
      </c>
      <c r="AK30" s="1">
        <v>0.80945573607485</v>
      </c>
      <c r="AL30" s="1">
        <v>0.809733837221395</v>
      </c>
      <c r="AM30" s="1">
        <v>0.329250534770326</v>
      </c>
      <c r="AN30" s="1">
        <v>0.677905014751216</v>
      </c>
      <c r="AO30" s="1">
        <v>29</v>
      </c>
    </row>
    <row r="31" s="1" customFormat="1" spans="1:41">
      <c r="A31" s="1" t="s">
        <v>136</v>
      </c>
      <c r="B31" s="1" t="s">
        <v>137</v>
      </c>
      <c r="C31" s="1">
        <v>1085.748628</v>
      </c>
      <c r="D31" s="1" t="s">
        <v>138</v>
      </c>
      <c r="E31" s="1" t="s">
        <v>139</v>
      </c>
      <c r="F31" s="1" t="s">
        <v>44</v>
      </c>
      <c r="G31" s="1" t="s">
        <v>45</v>
      </c>
      <c r="H31" s="1">
        <v>8</v>
      </c>
      <c r="I31" s="1">
        <v>64</v>
      </c>
      <c r="J31" s="1">
        <v>64</v>
      </c>
      <c r="K31" s="1">
        <v>100</v>
      </c>
      <c r="L31" s="1">
        <v>61</v>
      </c>
      <c r="M31" s="1">
        <v>95.3125</v>
      </c>
      <c r="N31" s="1">
        <v>61</v>
      </c>
      <c r="O31" s="1">
        <v>95.3125</v>
      </c>
      <c r="P31" s="1">
        <v>-6.77055737704918</v>
      </c>
      <c r="Q31" s="1">
        <f t="shared" si="0"/>
        <v>-413.004</v>
      </c>
      <c r="R31" s="1">
        <v>-6.826</v>
      </c>
      <c r="S31" s="1">
        <v>-9.941</v>
      </c>
      <c r="T31" s="1">
        <v>-4.023</v>
      </c>
      <c r="U31" s="1">
        <v>-5.36703278688525</v>
      </c>
      <c r="V31" s="1">
        <v>-5.348</v>
      </c>
      <c r="W31" s="1">
        <v>-5.6905737704918</v>
      </c>
      <c r="X31" s="1">
        <v>-5.629</v>
      </c>
      <c r="Y31" s="1">
        <v>0.45070771037935</v>
      </c>
      <c r="Z31" s="1">
        <v>0.446205307646273</v>
      </c>
      <c r="AA31" s="1">
        <v>0.65578125</v>
      </c>
      <c r="AB31" s="1">
        <v>0.635</v>
      </c>
      <c r="AC31" s="1">
        <v>0.179897928053116</v>
      </c>
      <c r="AD31" s="1">
        <v>0.162459486701602</v>
      </c>
      <c r="AE31" s="1">
        <v>0.75357271383542</v>
      </c>
      <c r="AF31" s="1">
        <v>0.810849312932313</v>
      </c>
      <c r="AG31" s="1">
        <v>0.800544445250954</v>
      </c>
      <c r="AH31" s="1">
        <v>0.791822132625503</v>
      </c>
      <c r="AI31" s="1">
        <v>0.811751358020103</v>
      </c>
      <c r="AJ31" s="1">
        <v>0.830096410777813</v>
      </c>
      <c r="AK31" s="1">
        <v>0.809778933267227</v>
      </c>
      <c r="AL31" s="1">
        <v>0.798937875563237</v>
      </c>
      <c r="AM31" s="1">
        <v>0.307469888759546</v>
      </c>
      <c r="AN31" s="1">
        <v>0.645785002196191</v>
      </c>
      <c r="AO31" s="1">
        <v>30</v>
      </c>
    </row>
    <row r="32" s="1" customFormat="1" spans="1:41">
      <c r="A32" s="1" t="s">
        <v>140</v>
      </c>
      <c r="B32" s="1" t="s">
        <v>141</v>
      </c>
      <c r="C32" s="1">
        <v>2465.707844</v>
      </c>
      <c r="D32" s="1" t="s">
        <v>142</v>
      </c>
      <c r="E32" s="1" t="s">
        <v>143</v>
      </c>
      <c r="F32" s="1" t="s">
        <v>44</v>
      </c>
      <c r="G32" s="1" t="s">
        <v>45</v>
      </c>
      <c r="H32" s="1">
        <v>8</v>
      </c>
      <c r="I32" s="1">
        <v>64</v>
      </c>
      <c r="J32" s="1">
        <v>64</v>
      </c>
      <c r="K32" s="1">
        <v>100</v>
      </c>
      <c r="L32" s="1">
        <v>44</v>
      </c>
      <c r="M32" s="1">
        <v>68.75</v>
      </c>
      <c r="N32" s="1">
        <v>44</v>
      </c>
      <c r="O32" s="1">
        <v>68.75</v>
      </c>
      <c r="P32" s="1">
        <v>-11.5937954545455</v>
      </c>
      <c r="Q32" s="1">
        <f t="shared" si="0"/>
        <v>-510.127000000002</v>
      </c>
      <c r="R32" s="1">
        <v>-11.5</v>
      </c>
      <c r="S32" s="1">
        <v>-15.749</v>
      </c>
      <c r="T32" s="1">
        <v>-8.598</v>
      </c>
      <c r="U32" s="1">
        <v>-6.50940909090909</v>
      </c>
      <c r="V32" s="1">
        <v>-8.7155</v>
      </c>
      <c r="W32" s="1">
        <v>-9.47618181818182</v>
      </c>
      <c r="X32" s="1">
        <v>-9.8925</v>
      </c>
      <c r="Y32" s="1">
        <v>0.201418244117876</v>
      </c>
      <c r="Z32" s="1">
        <v>0.160355286474213</v>
      </c>
      <c r="AA32" s="1">
        <v>0.489375</v>
      </c>
      <c r="AB32" s="1">
        <v>0.485</v>
      </c>
      <c r="AC32" s="1">
        <v>0.205830788871241</v>
      </c>
      <c r="AD32" s="1">
        <v>0.200506782304281</v>
      </c>
      <c r="AE32" s="1">
        <v>0.706091085228719</v>
      </c>
      <c r="AF32" s="1">
        <v>0.784734850636917</v>
      </c>
      <c r="AG32" s="1">
        <v>0.742362165304653</v>
      </c>
      <c r="AH32" s="1">
        <v>0.791793833125256</v>
      </c>
      <c r="AI32" s="1">
        <v>0.817536045624927</v>
      </c>
      <c r="AJ32" s="1">
        <v>0.82042559107325</v>
      </c>
      <c r="AK32" s="1">
        <v>0.81053773590746</v>
      </c>
      <c r="AL32" s="1">
        <v>0.813055850651711</v>
      </c>
      <c r="AM32" s="1">
        <v>0.251170308113314</v>
      </c>
      <c r="AN32" s="1">
        <v>0.584943890742505</v>
      </c>
      <c r="AO32" s="1">
        <v>31</v>
      </c>
    </row>
    <row r="33" s="1" customFormat="1" spans="1:41">
      <c r="A33" s="1" t="s">
        <v>144</v>
      </c>
      <c r="B33" s="1" t="s">
        <v>145</v>
      </c>
      <c r="C33" s="1">
        <v>1603.702847</v>
      </c>
      <c r="D33" s="1" t="s">
        <v>146</v>
      </c>
      <c r="E33" s="1" t="s">
        <v>147</v>
      </c>
      <c r="F33" s="1" t="s">
        <v>44</v>
      </c>
      <c r="G33" s="1" t="s">
        <v>45</v>
      </c>
      <c r="H33" s="1">
        <v>8</v>
      </c>
      <c r="I33" s="1">
        <v>64</v>
      </c>
      <c r="J33" s="1">
        <v>64</v>
      </c>
      <c r="K33" s="1">
        <v>100</v>
      </c>
      <c r="L33" s="1">
        <v>53</v>
      </c>
      <c r="M33" s="1">
        <v>82.8125</v>
      </c>
      <c r="N33" s="1">
        <v>53</v>
      </c>
      <c r="O33" s="1">
        <v>82.8125</v>
      </c>
      <c r="P33" s="1">
        <v>-8.44781132075472</v>
      </c>
      <c r="Q33" s="1">
        <f t="shared" si="0"/>
        <v>-447.734</v>
      </c>
      <c r="R33" s="1">
        <v>-8.286</v>
      </c>
      <c r="S33" s="1">
        <v>-11.166</v>
      </c>
      <c r="T33" s="1">
        <v>-5.196</v>
      </c>
      <c r="U33" s="1">
        <v>-6.11766037735849</v>
      </c>
      <c r="V33" s="1">
        <v>-6.03</v>
      </c>
      <c r="W33" s="1">
        <v>-6.66283018867925</v>
      </c>
      <c r="X33" s="1">
        <v>-6.451</v>
      </c>
      <c r="Y33" s="1">
        <v>0.357017318409446</v>
      </c>
      <c r="Z33" s="1">
        <v>0.340353198523518</v>
      </c>
      <c r="AA33" s="1">
        <v>0.559375</v>
      </c>
      <c r="AB33" s="1">
        <v>0.56</v>
      </c>
      <c r="AC33" s="1">
        <v>0.205957361705612</v>
      </c>
      <c r="AD33" s="1">
        <v>0.205211877350508</v>
      </c>
      <c r="AE33" s="1">
        <v>0.729322900022076</v>
      </c>
      <c r="AF33" s="1">
        <v>0.792923400096018</v>
      </c>
      <c r="AG33" s="1">
        <v>0.801090614829735</v>
      </c>
      <c r="AH33" s="1">
        <v>0.795568076436255</v>
      </c>
      <c r="AI33" s="1">
        <v>0.822704927313942</v>
      </c>
      <c r="AJ33" s="1">
        <v>0.819892854664186</v>
      </c>
      <c r="AK33" s="1">
        <v>0.807204793948736</v>
      </c>
      <c r="AL33" s="1">
        <v>0.807912500081131</v>
      </c>
      <c r="AM33" s="1">
        <v>0.266737318332086</v>
      </c>
      <c r="AN33" s="1">
        <v>0.603308671688008</v>
      </c>
      <c r="AO33" s="1">
        <v>32</v>
      </c>
    </row>
    <row r="34" s="1" customFormat="1" spans="1:41">
      <c r="A34" s="1" t="s">
        <v>148</v>
      </c>
      <c r="B34" s="1" t="s">
        <v>149</v>
      </c>
      <c r="C34" s="1">
        <v>1255.627789</v>
      </c>
      <c r="D34" s="1" t="s">
        <v>150</v>
      </c>
      <c r="E34" s="1" t="s">
        <v>151</v>
      </c>
      <c r="F34" s="1" t="s">
        <v>44</v>
      </c>
      <c r="G34" s="1" t="s">
        <v>45</v>
      </c>
      <c r="H34" s="1">
        <v>8</v>
      </c>
      <c r="I34" s="1">
        <v>64</v>
      </c>
      <c r="J34" s="1">
        <v>63</v>
      </c>
      <c r="K34" s="1">
        <v>98.4375</v>
      </c>
      <c r="L34" s="1">
        <v>55</v>
      </c>
      <c r="M34" s="1">
        <v>85.9375</v>
      </c>
      <c r="N34" s="1">
        <v>55</v>
      </c>
      <c r="O34" s="1">
        <v>85.9375</v>
      </c>
      <c r="P34" s="1">
        <v>-7.53527272727273</v>
      </c>
      <c r="Q34" s="1">
        <f t="shared" si="0"/>
        <v>-414.44</v>
      </c>
      <c r="R34" s="1">
        <v>-7.409</v>
      </c>
      <c r="S34" s="1">
        <v>-12.398</v>
      </c>
      <c r="T34" s="1">
        <v>-4.299</v>
      </c>
      <c r="U34" s="1">
        <v>-5.91496363636364</v>
      </c>
      <c r="V34" s="1">
        <v>-5.702</v>
      </c>
      <c r="W34" s="1">
        <v>-6.09485454545455</v>
      </c>
      <c r="X34" s="1">
        <v>-5.728</v>
      </c>
      <c r="Y34" s="1">
        <v>0.352853921441413</v>
      </c>
      <c r="Z34" s="1">
        <v>0.327792298835196</v>
      </c>
      <c r="AA34" s="1">
        <v>0.634126984126984</v>
      </c>
      <c r="AB34" s="1">
        <v>0.65</v>
      </c>
      <c r="AC34" s="1">
        <v>0.254570586781991</v>
      </c>
      <c r="AD34" s="1">
        <v>0.266634144821369</v>
      </c>
      <c r="AE34" s="1">
        <v>0.734240360270287</v>
      </c>
      <c r="AF34" s="1">
        <v>0.798843531956472</v>
      </c>
      <c r="AG34" s="1">
        <v>0.763059415678451</v>
      </c>
      <c r="AH34" s="1">
        <v>0.787361360265565</v>
      </c>
      <c r="AI34" s="1">
        <v>0.814105300476971</v>
      </c>
      <c r="AJ34" s="1">
        <v>0.808067195643708</v>
      </c>
      <c r="AK34" s="1">
        <v>0.804602470089675</v>
      </c>
      <c r="AL34" s="1">
        <v>0.809648663012065</v>
      </c>
      <c r="AM34" s="1">
        <v>0.312260684504338</v>
      </c>
      <c r="AN34" s="1">
        <v>0.595334811587546</v>
      </c>
      <c r="AO34" s="1">
        <v>33</v>
      </c>
    </row>
    <row r="35" s="1" customFormat="1" spans="1:41">
      <c r="A35" s="1" t="s">
        <v>148</v>
      </c>
      <c r="B35" s="1" t="s">
        <v>152</v>
      </c>
      <c r="C35" s="1">
        <v>526.760056</v>
      </c>
      <c r="D35" s="1" t="s">
        <v>153</v>
      </c>
      <c r="E35" s="1" t="s">
        <v>154</v>
      </c>
      <c r="F35" s="1" t="s">
        <v>44</v>
      </c>
      <c r="G35" s="1" t="s">
        <v>45</v>
      </c>
      <c r="H35" s="1">
        <v>8</v>
      </c>
      <c r="I35" s="1">
        <v>64</v>
      </c>
      <c r="J35" s="1">
        <v>64</v>
      </c>
      <c r="K35" s="1">
        <v>100</v>
      </c>
      <c r="L35" s="1">
        <v>57</v>
      </c>
      <c r="M35" s="1">
        <v>89.0625</v>
      </c>
      <c r="N35" s="1">
        <v>57</v>
      </c>
      <c r="O35" s="1">
        <v>89.0625</v>
      </c>
      <c r="P35" s="1">
        <v>-6.1780350877193</v>
      </c>
      <c r="Q35" s="1">
        <f t="shared" ref="Q35:Q66" si="1">PRODUCT(N35,P35)</f>
        <v>-352.148</v>
      </c>
      <c r="R35" s="1">
        <v>-5.773</v>
      </c>
      <c r="S35" s="1">
        <v>-9.544</v>
      </c>
      <c r="T35" s="1">
        <v>-5.002</v>
      </c>
      <c r="U35" s="1">
        <v>-4.585</v>
      </c>
      <c r="V35" s="1">
        <v>-4.507</v>
      </c>
      <c r="W35" s="1">
        <v>-4.89440350877193</v>
      </c>
      <c r="X35" s="1">
        <v>-4.84</v>
      </c>
      <c r="Y35" s="1">
        <v>0.474088019162852</v>
      </c>
      <c r="Z35" s="1">
        <v>0.460665380588059</v>
      </c>
      <c r="AA35" s="1">
        <v>0.7553125</v>
      </c>
      <c r="AB35" s="1">
        <v>0.795</v>
      </c>
      <c r="AC35" s="1">
        <v>0.163399296918992</v>
      </c>
      <c r="AD35" s="1">
        <v>0.149008937310616</v>
      </c>
      <c r="AE35" s="1">
        <v>0.774868800940784</v>
      </c>
      <c r="AF35" s="1">
        <v>0.807128952564574</v>
      </c>
      <c r="AG35" s="1">
        <v>0.832441204569405</v>
      </c>
      <c r="AH35" s="1">
        <v>0.821229776859447</v>
      </c>
      <c r="AI35" s="1">
        <v>0.823262520080012</v>
      </c>
      <c r="AJ35" s="1">
        <v>0.827668901717827</v>
      </c>
      <c r="AK35" s="1">
        <v>0.816205921165095</v>
      </c>
      <c r="AL35" s="1">
        <v>0.810823295163267</v>
      </c>
      <c r="AM35" s="1">
        <v>0.472489457391585</v>
      </c>
      <c r="AN35" s="1">
        <v>0.692364086273038</v>
      </c>
      <c r="AO35" s="1">
        <v>34</v>
      </c>
    </row>
    <row r="36" s="1" customFormat="1" spans="1:41">
      <c r="A36" s="1" t="s">
        <v>155</v>
      </c>
      <c r="B36" s="1" t="s">
        <v>156</v>
      </c>
      <c r="C36" s="1">
        <v>560.891456</v>
      </c>
      <c r="D36" s="1" t="s">
        <v>157</v>
      </c>
      <c r="E36" s="1" t="s">
        <v>158</v>
      </c>
      <c r="F36" s="1" t="s">
        <v>44</v>
      </c>
      <c r="G36" s="1" t="s">
        <v>45</v>
      </c>
      <c r="H36" s="1">
        <v>8</v>
      </c>
      <c r="I36" s="1">
        <v>64</v>
      </c>
      <c r="J36" s="1">
        <v>62</v>
      </c>
      <c r="K36" s="1">
        <v>96.875</v>
      </c>
      <c r="L36" s="1">
        <v>50</v>
      </c>
      <c r="M36" s="1">
        <v>78.125</v>
      </c>
      <c r="N36" s="1">
        <v>50</v>
      </c>
      <c r="O36" s="1">
        <v>78.125</v>
      </c>
      <c r="P36" s="1">
        <v>-8.61748</v>
      </c>
      <c r="Q36" s="1">
        <f t="shared" si="1"/>
        <v>-430.874</v>
      </c>
      <c r="R36" s="1">
        <v>-8.4795</v>
      </c>
      <c r="S36" s="1">
        <v>-11.335</v>
      </c>
      <c r="T36" s="1">
        <v>-6.575</v>
      </c>
      <c r="U36" s="1">
        <v>-7.7042</v>
      </c>
      <c r="V36" s="1">
        <v>-7.6845</v>
      </c>
      <c r="W36" s="1">
        <v>-8.07178</v>
      </c>
      <c r="X36" s="1">
        <v>-7.966</v>
      </c>
      <c r="Y36" s="1">
        <v>0.299097494298285</v>
      </c>
      <c r="Z36" s="1">
        <v>0.297124233877326</v>
      </c>
      <c r="AA36" s="1">
        <v>0.580967741935484</v>
      </c>
      <c r="AB36" s="1">
        <v>0.57</v>
      </c>
      <c r="AC36" s="1">
        <v>0.234807400647698</v>
      </c>
      <c r="AD36" s="1">
        <v>0.239393908407865</v>
      </c>
      <c r="AE36" s="1">
        <v>0.783090945517845</v>
      </c>
      <c r="AF36" s="1">
        <v>0.816228714691595</v>
      </c>
      <c r="AG36" s="1" t="s">
        <v>46</v>
      </c>
      <c r="AH36" s="1">
        <v>0.784610278993448</v>
      </c>
      <c r="AI36" s="1">
        <v>0.818738613507708</v>
      </c>
      <c r="AJ36" s="1" t="s">
        <v>46</v>
      </c>
      <c r="AK36" s="1">
        <v>0.813682456532959</v>
      </c>
      <c r="AL36" s="1">
        <v>0.816189812863074</v>
      </c>
      <c r="AM36" s="1">
        <v>0.416131476307265</v>
      </c>
      <c r="AN36" s="1">
        <v>0.701352401399228</v>
      </c>
      <c r="AO36" s="1">
        <v>35</v>
      </c>
    </row>
    <row r="37" s="1" customFormat="1" spans="1:41">
      <c r="A37" s="1" t="s">
        <v>159</v>
      </c>
      <c r="B37" s="1" t="s">
        <v>160</v>
      </c>
      <c r="C37" s="1">
        <v>2299.651921</v>
      </c>
      <c r="D37" s="1" t="s">
        <v>161</v>
      </c>
      <c r="E37" s="1" t="s">
        <v>162</v>
      </c>
      <c r="F37" s="1" t="s">
        <v>44</v>
      </c>
      <c r="G37" s="1" t="s">
        <v>45</v>
      </c>
      <c r="H37" s="1">
        <v>8</v>
      </c>
      <c r="I37" s="1">
        <v>64</v>
      </c>
      <c r="J37" s="1">
        <v>63</v>
      </c>
      <c r="K37" s="1">
        <v>98.4375</v>
      </c>
      <c r="L37" s="1">
        <v>54</v>
      </c>
      <c r="M37" s="1">
        <v>84.375</v>
      </c>
      <c r="N37" s="1">
        <v>54</v>
      </c>
      <c r="O37" s="1">
        <v>84.375</v>
      </c>
      <c r="P37" s="1">
        <v>-9.62540740740741</v>
      </c>
      <c r="Q37" s="1">
        <f t="shared" si="1"/>
        <v>-519.772</v>
      </c>
      <c r="R37" s="1">
        <v>-9.5195</v>
      </c>
      <c r="S37" s="1">
        <v>-13.09</v>
      </c>
      <c r="T37" s="1">
        <v>-7.105</v>
      </c>
      <c r="U37" s="1">
        <v>-7.96290740740741</v>
      </c>
      <c r="V37" s="1">
        <v>-7.791</v>
      </c>
      <c r="W37" s="1">
        <v>-8.18894444444444</v>
      </c>
      <c r="X37" s="1">
        <v>-8.358</v>
      </c>
      <c r="Y37" s="1">
        <v>0.206639273156579</v>
      </c>
      <c r="Z37" s="1">
        <v>0.149365483998406</v>
      </c>
      <c r="AA37" s="1">
        <v>0.534920634920635</v>
      </c>
      <c r="AB37" s="1">
        <v>0.53</v>
      </c>
      <c r="AC37" s="1">
        <v>0.195208253024542</v>
      </c>
      <c r="AD37" s="1">
        <v>0.188543712375435</v>
      </c>
      <c r="AE37" s="1">
        <v>0.741561805357224</v>
      </c>
      <c r="AF37" s="1">
        <v>0.806357644852602</v>
      </c>
      <c r="AG37" s="1">
        <v>0.772535954379684</v>
      </c>
      <c r="AH37" s="1">
        <v>0.763929677684946</v>
      </c>
      <c r="AI37" s="1">
        <v>0.818148133628009</v>
      </c>
      <c r="AJ37" s="1">
        <v>0.766052855677539</v>
      </c>
      <c r="AK37" s="1">
        <v>0.792749349990903</v>
      </c>
      <c r="AL37" s="1">
        <v>0.801740078382913</v>
      </c>
      <c r="AM37" s="1">
        <v>0.260424766047252</v>
      </c>
      <c r="AN37" s="1">
        <v>0.624649439439498</v>
      </c>
      <c r="AO37" s="1">
        <v>36</v>
      </c>
    </row>
    <row r="38" s="1" customFormat="1" spans="1:41">
      <c r="A38" s="1" t="s">
        <v>163</v>
      </c>
      <c r="B38" s="1" t="s">
        <v>164</v>
      </c>
      <c r="C38" s="1">
        <v>1587.752127</v>
      </c>
      <c r="D38" s="1" t="s">
        <v>165</v>
      </c>
      <c r="E38" s="1" t="s">
        <v>166</v>
      </c>
      <c r="F38" s="1" t="s">
        <v>44</v>
      </c>
      <c r="G38" s="1" t="s">
        <v>45</v>
      </c>
      <c r="H38" s="1">
        <v>8</v>
      </c>
      <c r="I38" s="1">
        <v>64</v>
      </c>
      <c r="J38" s="1">
        <v>64</v>
      </c>
      <c r="K38" s="1">
        <v>100</v>
      </c>
      <c r="L38" s="1">
        <v>56</v>
      </c>
      <c r="M38" s="1">
        <v>87.5</v>
      </c>
      <c r="N38" s="1">
        <v>56</v>
      </c>
      <c r="O38" s="1">
        <v>87.5</v>
      </c>
      <c r="P38" s="1">
        <v>-8.01617857142857</v>
      </c>
      <c r="Q38" s="1">
        <f t="shared" si="1"/>
        <v>-448.906</v>
      </c>
      <c r="R38" s="1">
        <v>-7.8095</v>
      </c>
      <c r="S38" s="1">
        <v>-12.008</v>
      </c>
      <c r="T38" s="1">
        <v>-5.304</v>
      </c>
      <c r="U38" s="1">
        <v>-5.17023214285714</v>
      </c>
      <c r="V38" s="1">
        <v>-5.356</v>
      </c>
      <c r="W38" s="1">
        <v>-5.54407142857143</v>
      </c>
      <c r="X38" s="1">
        <v>-5.675</v>
      </c>
      <c r="Y38" s="1">
        <v>0.301275452927596</v>
      </c>
      <c r="Z38" s="1">
        <v>0.292078648213042</v>
      </c>
      <c r="AA38" s="1">
        <v>0.5371875</v>
      </c>
      <c r="AB38" s="1">
        <v>0.53</v>
      </c>
      <c r="AC38" s="1">
        <v>0.210557762640232</v>
      </c>
      <c r="AD38" s="1">
        <v>0.207174429712622</v>
      </c>
      <c r="AE38" s="1">
        <v>0.73988254788623</v>
      </c>
      <c r="AF38" s="1">
        <v>0.797378569215408</v>
      </c>
      <c r="AG38" s="1">
        <v>0.792616849925846</v>
      </c>
      <c r="AH38" s="1">
        <v>0.786546314403011</v>
      </c>
      <c r="AI38" s="1">
        <v>0.810189983501724</v>
      </c>
      <c r="AJ38" s="1">
        <v>0.801594377183743</v>
      </c>
      <c r="AK38" s="1">
        <v>0.800894303626413</v>
      </c>
      <c r="AL38" s="1">
        <v>0.81556783456089</v>
      </c>
      <c r="AM38" s="1">
        <v>0.282396955738667</v>
      </c>
      <c r="AN38" s="1">
        <v>0.619159696787516</v>
      </c>
      <c r="AO38" s="1">
        <v>37</v>
      </c>
    </row>
    <row r="39" s="1" customFormat="1" spans="1:41">
      <c r="A39" s="1" t="s">
        <v>167</v>
      </c>
      <c r="B39" s="1" t="s">
        <v>168</v>
      </c>
      <c r="C39" s="1">
        <v>614.825692</v>
      </c>
      <c r="D39" s="1" t="s">
        <v>169</v>
      </c>
      <c r="E39" s="1" t="s">
        <v>170</v>
      </c>
      <c r="F39" s="1" t="s">
        <v>44</v>
      </c>
      <c r="G39" s="1" t="s">
        <v>45</v>
      </c>
      <c r="H39" s="1">
        <v>8</v>
      </c>
      <c r="I39" s="1">
        <v>64</v>
      </c>
      <c r="J39" s="1">
        <v>62</v>
      </c>
      <c r="K39" s="1">
        <v>96.875</v>
      </c>
      <c r="L39" s="1">
        <v>52</v>
      </c>
      <c r="M39" s="1">
        <v>81.25</v>
      </c>
      <c r="N39" s="1">
        <v>52</v>
      </c>
      <c r="O39" s="1">
        <v>81.25</v>
      </c>
      <c r="P39" s="1">
        <v>-4.10603846153846</v>
      </c>
      <c r="Q39" s="1">
        <f t="shared" si="1"/>
        <v>-213.514</v>
      </c>
      <c r="R39" s="1">
        <v>-3.7555</v>
      </c>
      <c r="S39" s="1">
        <v>-8.766</v>
      </c>
      <c r="T39" s="1">
        <v>-3.174</v>
      </c>
      <c r="U39" s="1">
        <v>-1.68688461538462</v>
      </c>
      <c r="V39" s="1">
        <v>-1.58</v>
      </c>
      <c r="W39" s="1">
        <v>-2.29842307692308</v>
      </c>
      <c r="X39" s="1">
        <v>-2.1705</v>
      </c>
      <c r="Y39" s="1">
        <v>0.411499654354998</v>
      </c>
      <c r="Z39" s="1">
        <v>0.418840733011164</v>
      </c>
      <c r="AA39" s="1">
        <v>0.689516129032258</v>
      </c>
      <c r="AB39" s="1">
        <v>0.695</v>
      </c>
      <c r="AC39" s="1">
        <v>0.258508482043003</v>
      </c>
      <c r="AD39" s="1">
        <v>0.26164570242887</v>
      </c>
      <c r="AE39" s="1">
        <v>0.790251124571038</v>
      </c>
      <c r="AF39" s="1">
        <v>0.811040097301449</v>
      </c>
      <c r="AG39" s="1">
        <v>0.78161076412271</v>
      </c>
      <c r="AH39" s="1">
        <v>0.800398614711261</v>
      </c>
      <c r="AI39" s="1">
        <v>0.819928512814224</v>
      </c>
      <c r="AJ39" s="1">
        <v>0.830982544868311</v>
      </c>
      <c r="AK39" s="1">
        <v>0.807945697502528</v>
      </c>
      <c r="AL39" s="1">
        <v>0.809773344728324</v>
      </c>
      <c r="AM39" s="1">
        <v>0.475472737559007</v>
      </c>
      <c r="AN39" s="1">
        <v>0.713081123442881</v>
      </c>
      <c r="AO39" s="1">
        <v>38</v>
      </c>
    </row>
    <row r="40" s="1" customFormat="1" spans="1:41">
      <c r="A40" s="1" t="s">
        <v>171</v>
      </c>
      <c r="B40" s="1" t="s">
        <v>172</v>
      </c>
      <c r="C40" s="1">
        <v>1347.576861</v>
      </c>
      <c r="D40" s="1" t="s">
        <v>173</v>
      </c>
      <c r="E40" s="1" t="s">
        <v>174</v>
      </c>
      <c r="F40" s="1" t="s">
        <v>44</v>
      </c>
      <c r="G40" s="1" t="s">
        <v>45</v>
      </c>
      <c r="H40" s="1">
        <v>8</v>
      </c>
      <c r="I40" s="1">
        <v>64</v>
      </c>
      <c r="J40" s="1">
        <v>62</v>
      </c>
      <c r="K40" s="1">
        <v>96.875</v>
      </c>
      <c r="L40" s="1">
        <v>58</v>
      </c>
      <c r="M40" s="1">
        <v>90.625</v>
      </c>
      <c r="N40" s="1">
        <v>58</v>
      </c>
      <c r="O40" s="1">
        <v>90.625</v>
      </c>
      <c r="P40" s="1">
        <v>-11.8732931034483</v>
      </c>
      <c r="Q40" s="1">
        <f t="shared" si="1"/>
        <v>-688.651000000001</v>
      </c>
      <c r="R40" s="1">
        <v>-12.0015</v>
      </c>
      <c r="S40" s="1">
        <v>-18.073</v>
      </c>
      <c r="T40" s="1">
        <v>-7.417</v>
      </c>
      <c r="U40" s="1">
        <v>-3.8516724137931</v>
      </c>
      <c r="V40" s="1">
        <v>-8.786</v>
      </c>
      <c r="W40" s="1">
        <v>-7.89863793103448</v>
      </c>
      <c r="X40" s="1">
        <v>-10.5335</v>
      </c>
      <c r="Y40" s="1">
        <v>0.31484269296891</v>
      </c>
      <c r="Z40" s="1">
        <v>0.290714629081282</v>
      </c>
      <c r="AA40" s="1">
        <v>0.602096774193548</v>
      </c>
      <c r="AB40" s="1">
        <v>0.595</v>
      </c>
      <c r="AC40" s="1">
        <v>0.257557361732908</v>
      </c>
      <c r="AD40" s="1">
        <v>0.254884380117449</v>
      </c>
      <c r="AE40" s="1">
        <v>0.740528534793152</v>
      </c>
      <c r="AF40" s="1">
        <v>0.786347876366783</v>
      </c>
      <c r="AG40" s="1">
        <v>0.809173062603039</v>
      </c>
      <c r="AH40" s="1">
        <v>0.802794216719778</v>
      </c>
      <c r="AI40" s="1">
        <v>0.821426532726533</v>
      </c>
      <c r="AJ40" s="1">
        <v>0.824827719911341</v>
      </c>
      <c r="AK40" s="1">
        <v>0.811048157209361</v>
      </c>
      <c r="AL40" s="1">
        <v>0.817715374679503</v>
      </c>
      <c r="AM40" s="1">
        <v>0.300556721048492</v>
      </c>
      <c r="AN40" s="1">
        <v>0.6086482079206</v>
      </c>
      <c r="AO40" s="1">
        <v>39</v>
      </c>
    </row>
    <row r="41" s="1" customFormat="1" spans="1:41">
      <c r="A41" s="1" t="s">
        <v>171</v>
      </c>
      <c r="B41" s="1" t="s">
        <v>175</v>
      </c>
      <c r="C41" s="1">
        <v>930.228287</v>
      </c>
      <c r="D41" s="1" t="s">
        <v>176</v>
      </c>
      <c r="E41" s="1" t="s">
        <v>177</v>
      </c>
      <c r="F41" s="1" t="s">
        <v>44</v>
      </c>
      <c r="G41" s="1" t="s">
        <v>45</v>
      </c>
      <c r="H41" s="1">
        <v>8</v>
      </c>
      <c r="I41" s="1">
        <v>64</v>
      </c>
      <c r="J41" s="1">
        <v>62</v>
      </c>
      <c r="K41" s="1">
        <v>96.875</v>
      </c>
      <c r="L41" s="1">
        <v>52</v>
      </c>
      <c r="M41" s="1">
        <v>81.25</v>
      </c>
      <c r="N41" s="1">
        <v>52</v>
      </c>
      <c r="O41" s="1">
        <v>81.25</v>
      </c>
      <c r="P41" s="1">
        <v>-6.88842307692308</v>
      </c>
      <c r="Q41" s="1">
        <f t="shared" si="1"/>
        <v>-358.198</v>
      </c>
      <c r="R41" s="1">
        <v>-6.8225</v>
      </c>
      <c r="S41" s="1">
        <v>-9.839</v>
      </c>
      <c r="T41" s="1">
        <v>-4.703</v>
      </c>
      <c r="U41" s="1">
        <v>-5.62267307692308</v>
      </c>
      <c r="V41" s="1">
        <v>-5.2155</v>
      </c>
      <c r="W41" s="1">
        <v>-5.83163461538461</v>
      </c>
      <c r="X41" s="1">
        <v>-5.4615</v>
      </c>
      <c r="Y41" s="1">
        <v>0.39680847836012</v>
      </c>
      <c r="Z41" s="1">
        <v>0.374537024047472</v>
      </c>
      <c r="AA41" s="1">
        <v>0.645322580645161</v>
      </c>
      <c r="AB41" s="1">
        <v>0.655</v>
      </c>
      <c r="AC41" s="1">
        <v>0.231379391709425</v>
      </c>
      <c r="AD41" s="1">
        <v>0.210523511041082</v>
      </c>
      <c r="AE41" s="1">
        <v>0.768251613264004</v>
      </c>
      <c r="AF41" s="1">
        <v>0.80465660755541</v>
      </c>
      <c r="AG41" s="1">
        <v>0.759108186608385</v>
      </c>
      <c r="AH41" s="1">
        <v>0.786551570722279</v>
      </c>
      <c r="AI41" s="1">
        <v>0.811197031263563</v>
      </c>
      <c r="AJ41" s="1">
        <v>0.790802600567349</v>
      </c>
      <c r="AK41" s="1">
        <v>0.819406167997322</v>
      </c>
      <c r="AL41" s="1">
        <v>0.817501420597949</v>
      </c>
      <c r="AM41" s="1">
        <v>0.366597852080648</v>
      </c>
      <c r="AN41" s="1">
        <v>0.671340910435956</v>
      </c>
      <c r="AO41" s="1">
        <v>40</v>
      </c>
    </row>
    <row r="42" s="1" customFormat="1" spans="1:41">
      <c r="A42" s="1" t="s">
        <v>178</v>
      </c>
      <c r="B42" s="1" t="s">
        <v>179</v>
      </c>
      <c r="C42" s="1">
        <v>2985.590132</v>
      </c>
      <c r="D42" s="1" t="s">
        <v>180</v>
      </c>
      <c r="E42" s="1" t="s">
        <v>181</v>
      </c>
      <c r="F42" s="1" t="s">
        <v>44</v>
      </c>
      <c r="G42" s="1" t="s">
        <v>45</v>
      </c>
      <c r="H42" s="1">
        <v>8</v>
      </c>
      <c r="I42" s="1">
        <v>64</v>
      </c>
      <c r="J42" s="1">
        <v>64</v>
      </c>
      <c r="K42" s="1">
        <v>100</v>
      </c>
      <c r="L42" s="1">
        <v>41</v>
      </c>
      <c r="M42" s="1">
        <v>64.0625</v>
      </c>
      <c r="N42" s="1">
        <v>41</v>
      </c>
      <c r="O42" s="1">
        <v>64.0625</v>
      </c>
      <c r="P42" s="1">
        <v>-9.271</v>
      </c>
      <c r="Q42" s="1">
        <f t="shared" si="1"/>
        <v>-380.111</v>
      </c>
      <c r="R42" s="1">
        <v>-8.979</v>
      </c>
      <c r="S42" s="1">
        <v>-13.73</v>
      </c>
      <c r="T42" s="1">
        <v>-6.324</v>
      </c>
      <c r="U42" s="1">
        <v>-7.26095121951219</v>
      </c>
      <c r="V42" s="1">
        <v>-7.075</v>
      </c>
      <c r="W42" s="1">
        <v>-7.14273170731707</v>
      </c>
      <c r="X42" s="1">
        <v>-6.875</v>
      </c>
      <c r="Y42" s="1">
        <v>0.133754204086981</v>
      </c>
      <c r="Z42" s="1">
        <v>0.103557239945528</v>
      </c>
      <c r="AA42" s="1">
        <v>0.50953125</v>
      </c>
      <c r="AB42" s="1">
        <v>0.48</v>
      </c>
      <c r="AC42" s="1">
        <v>0.229181187497592</v>
      </c>
      <c r="AD42" s="1">
        <v>0.22184761334677</v>
      </c>
      <c r="AE42" s="1">
        <v>0.706320830396219</v>
      </c>
      <c r="AF42" s="1">
        <v>0.783838247522375</v>
      </c>
      <c r="AG42" s="1">
        <v>0.819474591026878</v>
      </c>
      <c r="AH42" s="1">
        <v>0.7863269308574</v>
      </c>
      <c r="AI42" s="1">
        <v>0.800657763967569</v>
      </c>
      <c r="AJ42" s="1">
        <v>0.765858471762735</v>
      </c>
      <c r="AK42" s="1">
        <v>0.801730674569434</v>
      </c>
      <c r="AL42" s="1">
        <v>0.815043178336576</v>
      </c>
      <c r="AM42" s="1">
        <v>0.288572529129879</v>
      </c>
      <c r="AN42" s="1">
        <v>0.582381995092141</v>
      </c>
      <c r="AO42" s="1">
        <v>41</v>
      </c>
    </row>
    <row r="43" s="1" customFormat="1" spans="1:41">
      <c r="A43" s="1" t="s">
        <v>182</v>
      </c>
      <c r="B43" s="1" t="s">
        <v>183</v>
      </c>
      <c r="C43" s="1">
        <v>1037.3444</v>
      </c>
      <c r="D43" s="1" t="s">
        <v>184</v>
      </c>
      <c r="E43" s="1" t="s">
        <v>185</v>
      </c>
      <c r="F43" s="1" t="s">
        <v>44</v>
      </c>
      <c r="G43" s="1" t="s">
        <v>45</v>
      </c>
      <c r="H43" s="1">
        <v>8</v>
      </c>
      <c r="I43" s="1">
        <v>64</v>
      </c>
      <c r="J43" s="1">
        <v>61</v>
      </c>
      <c r="K43" s="1">
        <v>95.3125</v>
      </c>
      <c r="L43" s="1">
        <v>40</v>
      </c>
      <c r="M43" s="1">
        <v>62.5</v>
      </c>
      <c r="N43" s="1">
        <v>40</v>
      </c>
      <c r="O43" s="1">
        <v>62.5</v>
      </c>
      <c r="P43" s="1">
        <v>-11.68125</v>
      </c>
      <c r="Q43" s="1">
        <f t="shared" si="1"/>
        <v>-467.25</v>
      </c>
      <c r="R43" s="1">
        <v>-11.552</v>
      </c>
      <c r="S43" s="1">
        <v>-15.568</v>
      </c>
      <c r="T43" s="1">
        <v>-7.816</v>
      </c>
      <c r="U43" s="1">
        <v>-9.042525</v>
      </c>
      <c r="V43" s="1">
        <v>-9.0195</v>
      </c>
      <c r="W43" s="1">
        <v>-9.534625</v>
      </c>
      <c r="X43" s="1">
        <v>-9.315</v>
      </c>
      <c r="Y43" s="1">
        <v>0.264946666660086</v>
      </c>
      <c r="Z43" s="1">
        <v>0.215140614447115</v>
      </c>
      <c r="AA43" s="1">
        <v>0.575737704918033</v>
      </c>
      <c r="AB43" s="1">
        <v>0.58</v>
      </c>
      <c r="AC43" s="1">
        <v>0.245978010495969</v>
      </c>
      <c r="AD43" s="1">
        <v>0.236579516101705</v>
      </c>
      <c r="AE43" s="1">
        <v>0.733019819237718</v>
      </c>
      <c r="AF43" s="1">
        <v>0.780324154314956</v>
      </c>
      <c r="AG43" s="1">
        <v>0.80215223423791</v>
      </c>
      <c r="AH43" s="1">
        <v>0.785677928361729</v>
      </c>
      <c r="AI43" s="1">
        <v>0.821150001133459</v>
      </c>
      <c r="AJ43" s="1">
        <v>0.801782712601563</v>
      </c>
      <c r="AK43" s="1">
        <v>0.80375964050142</v>
      </c>
      <c r="AL43" s="1">
        <v>0.827235755894369</v>
      </c>
      <c r="AM43" s="1">
        <v>0.263404343214004</v>
      </c>
      <c r="AN43" s="1">
        <v>0.584283703125942</v>
      </c>
      <c r="AO43" s="1">
        <v>42</v>
      </c>
    </row>
    <row r="44" s="1" customFormat="1" spans="1:41">
      <c r="A44" s="1" t="s">
        <v>186</v>
      </c>
      <c r="B44" s="1" t="s">
        <v>187</v>
      </c>
      <c r="C44" s="1">
        <v>419.422456</v>
      </c>
      <c r="D44" s="1" t="s">
        <v>188</v>
      </c>
      <c r="E44" s="1" t="s">
        <v>189</v>
      </c>
      <c r="F44" s="1" t="s">
        <v>44</v>
      </c>
      <c r="G44" s="1" t="s">
        <v>45</v>
      </c>
      <c r="H44" s="1">
        <v>8</v>
      </c>
      <c r="I44" s="1">
        <v>64</v>
      </c>
      <c r="J44" s="1">
        <v>63</v>
      </c>
      <c r="K44" s="1">
        <v>98.4375</v>
      </c>
      <c r="L44" s="1">
        <v>55</v>
      </c>
      <c r="M44" s="1">
        <v>85.9375</v>
      </c>
      <c r="N44" s="1">
        <v>55</v>
      </c>
      <c r="O44" s="1">
        <v>85.9375</v>
      </c>
      <c r="P44" s="1">
        <v>-5.24001818181818</v>
      </c>
      <c r="Q44" s="1">
        <f t="shared" si="1"/>
        <v>-288.201</v>
      </c>
      <c r="R44" s="1">
        <v>-5.089</v>
      </c>
      <c r="S44" s="1">
        <v>-8.127</v>
      </c>
      <c r="T44" s="1">
        <v>-3.419</v>
      </c>
      <c r="U44" s="1">
        <v>-3.46681818181818</v>
      </c>
      <c r="V44" s="1">
        <v>-3.372</v>
      </c>
      <c r="W44" s="1">
        <v>-3.76318181818182</v>
      </c>
      <c r="X44" s="1">
        <v>-3.797</v>
      </c>
      <c r="Y44" s="1">
        <v>0.473284689011968</v>
      </c>
      <c r="Z44" s="1">
        <v>0.458571427897416</v>
      </c>
      <c r="AA44" s="1">
        <v>0.668571428571429</v>
      </c>
      <c r="AB44" s="1">
        <v>0.65</v>
      </c>
      <c r="AC44" s="1">
        <v>0.254018286993758</v>
      </c>
      <c r="AD44" s="1">
        <v>0.284467813422769</v>
      </c>
      <c r="AE44" s="1">
        <v>0.786299877363316</v>
      </c>
      <c r="AF44" s="1">
        <v>0.813464669849933</v>
      </c>
      <c r="AG44" s="1">
        <v>0.795404680412829</v>
      </c>
      <c r="AH44" s="1">
        <v>0.807378995029134</v>
      </c>
      <c r="AI44" s="1">
        <v>0.813221267166055</v>
      </c>
      <c r="AJ44" s="1">
        <v>0.813315669876905</v>
      </c>
      <c r="AK44" s="1">
        <v>0.805605581450793</v>
      </c>
      <c r="AL44" s="1">
        <v>0.826445904504206</v>
      </c>
      <c r="AM44" s="1">
        <v>0.504016722523805</v>
      </c>
      <c r="AN44" s="1">
        <v>0.698036712785008</v>
      </c>
      <c r="AO44" s="1">
        <v>43</v>
      </c>
    </row>
    <row r="45" s="1" customFormat="1" spans="1:41">
      <c r="A45" s="1" t="s">
        <v>92</v>
      </c>
      <c r="B45" s="1" t="s">
        <v>190</v>
      </c>
      <c r="C45" s="1">
        <v>1670.240408</v>
      </c>
      <c r="D45" s="1" t="s">
        <v>191</v>
      </c>
      <c r="E45" s="1" t="s">
        <v>192</v>
      </c>
      <c r="F45" s="1" t="s">
        <v>44</v>
      </c>
      <c r="G45" s="1" t="s">
        <v>45</v>
      </c>
      <c r="H45" s="1">
        <v>8</v>
      </c>
      <c r="I45" s="1">
        <v>64</v>
      </c>
      <c r="J45" s="1">
        <v>63</v>
      </c>
      <c r="K45" s="1">
        <v>98.4375</v>
      </c>
      <c r="L45" s="1">
        <v>41</v>
      </c>
      <c r="M45" s="1">
        <v>64.0625</v>
      </c>
      <c r="N45" s="1">
        <v>41</v>
      </c>
      <c r="O45" s="1">
        <v>64.0625</v>
      </c>
      <c r="P45" s="1">
        <v>-9.53187804878049</v>
      </c>
      <c r="Q45" s="1">
        <f t="shared" si="1"/>
        <v>-390.807</v>
      </c>
      <c r="R45" s="1">
        <v>-9.362</v>
      </c>
      <c r="S45" s="1">
        <v>-13.361</v>
      </c>
      <c r="T45" s="1">
        <v>-7.33</v>
      </c>
      <c r="U45" s="1">
        <v>-8.25307317073171</v>
      </c>
      <c r="V45" s="1">
        <v>-8.135</v>
      </c>
      <c r="W45" s="1">
        <v>-8.41790243902439</v>
      </c>
      <c r="X45" s="1">
        <v>-8.317</v>
      </c>
      <c r="Y45" s="1">
        <v>0.125953429733371</v>
      </c>
      <c r="Z45" s="1">
        <v>0.116011513598279</v>
      </c>
      <c r="AA45" s="1">
        <v>0.530952380952381</v>
      </c>
      <c r="AB45" s="1">
        <v>0.51</v>
      </c>
      <c r="AC45" s="1">
        <v>0.202840892706965</v>
      </c>
      <c r="AD45" s="1">
        <v>0.199387791205966</v>
      </c>
      <c r="AE45" s="1">
        <v>0.764317749420379</v>
      </c>
      <c r="AF45" s="1">
        <v>0.803043707191902</v>
      </c>
      <c r="AG45" s="1">
        <v>0.798409286699101</v>
      </c>
      <c r="AH45" s="1">
        <v>0.775592093213138</v>
      </c>
      <c r="AI45" s="1">
        <v>0.814644767272717</v>
      </c>
      <c r="AJ45" s="1">
        <v>0.785203639898135</v>
      </c>
      <c r="AK45" s="1">
        <v>0.805966537722744</v>
      </c>
      <c r="AL45" s="1">
        <v>0.823041625270441</v>
      </c>
      <c r="AM45" s="1">
        <v>0.257198877207958</v>
      </c>
      <c r="AN45" s="1">
        <v>0.668938125087182</v>
      </c>
      <c r="AO45" s="1">
        <v>44</v>
      </c>
    </row>
    <row r="46" s="1" customFormat="1" spans="1:41">
      <c r="A46" s="1" t="s">
        <v>193</v>
      </c>
      <c r="B46" s="1" t="s">
        <v>194</v>
      </c>
      <c r="C46" s="1">
        <v>997.470865</v>
      </c>
      <c r="D46" s="1" t="s">
        <v>195</v>
      </c>
      <c r="E46" s="1" t="s">
        <v>196</v>
      </c>
      <c r="F46" s="1" t="s">
        <v>44</v>
      </c>
      <c r="G46" s="1" t="s">
        <v>45</v>
      </c>
      <c r="H46" s="1">
        <v>8</v>
      </c>
      <c r="I46" s="1">
        <v>64</v>
      </c>
      <c r="J46" s="1">
        <v>64</v>
      </c>
      <c r="K46" s="1">
        <v>100</v>
      </c>
      <c r="L46" s="1">
        <v>58</v>
      </c>
      <c r="M46" s="1">
        <v>90.625</v>
      </c>
      <c r="N46" s="1">
        <v>58</v>
      </c>
      <c r="O46" s="1">
        <v>90.625</v>
      </c>
      <c r="P46" s="1">
        <v>-7.57296551724138</v>
      </c>
      <c r="Q46" s="1">
        <f t="shared" si="1"/>
        <v>-439.232</v>
      </c>
      <c r="R46" s="1">
        <v>-7.669</v>
      </c>
      <c r="S46" s="1">
        <v>-9.948</v>
      </c>
      <c r="T46" s="1">
        <v>-5.076</v>
      </c>
      <c r="U46" s="1">
        <v>-4.74962068965517</v>
      </c>
      <c r="V46" s="1">
        <v>-4.7895</v>
      </c>
      <c r="W46" s="1">
        <v>-5.16615517241379</v>
      </c>
      <c r="X46" s="1">
        <v>-5.1465</v>
      </c>
      <c r="Y46" s="1">
        <v>0.417370047937679</v>
      </c>
      <c r="Z46" s="1">
        <v>0.405194857515113</v>
      </c>
      <c r="AA46" s="1">
        <v>0.6215625</v>
      </c>
      <c r="AB46" s="1">
        <v>0.615</v>
      </c>
      <c r="AC46" s="1">
        <v>0.213866613121416</v>
      </c>
      <c r="AD46" s="1">
        <v>0.197233744895206</v>
      </c>
      <c r="AE46" s="1">
        <v>0.761250347797166</v>
      </c>
      <c r="AF46" s="1">
        <v>0.803198812288627</v>
      </c>
      <c r="AG46" s="1">
        <v>0.792409975574847</v>
      </c>
      <c r="AH46" s="1">
        <v>0.790500857407581</v>
      </c>
      <c r="AI46" s="1">
        <v>0.818167792649491</v>
      </c>
      <c r="AJ46" s="1">
        <v>0.822042987063898</v>
      </c>
      <c r="AK46" s="1">
        <v>0.811141938199837</v>
      </c>
      <c r="AL46" s="1">
        <v>0.81103027221464</v>
      </c>
      <c r="AM46" s="1">
        <v>0.320761419097253</v>
      </c>
      <c r="AN46" s="1">
        <v>0.644094309387821</v>
      </c>
      <c r="AO46" s="1">
        <v>45</v>
      </c>
    </row>
    <row r="47" s="1" customFormat="1" spans="1:41">
      <c r="A47" s="1" t="s">
        <v>197</v>
      </c>
      <c r="B47" s="1" t="s">
        <v>198</v>
      </c>
      <c r="C47" s="1">
        <v>511.328246</v>
      </c>
      <c r="D47" s="1" t="s">
        <v>199</v>
      </c>
      <c r="E47" s="1" t="s">
        <v>200</v>
      </c>
      <c r="F47" s="1" t="s">
        <v>44</v>
      </c>
      <c r="G47" s="1" t="s">
        <v>45</v>
      </c>
      <c r="H47" s="1">
        <v>8</v>
      </c>
      <c r="I47" s="1">
        <v>64</v>
      </c>
      <c r="J47" s="1">
        <v>60</v>
      </c>
      <c r="K47" s="1">
        <v>93.75</v>
      </c>
      <c r="L47" s="1">
        <v>20</v>
      </c>
      <c r="M47" s="1">
        <v>31.25</v>
      </c>
      <c r="N47" s="1">
        <v>20</v>
      </c>
      <c r="O47" s="1">
        <v>31.25</v>
      </c>
      <c r="P47" s="1">
        <v>-7.2437</v>
      </c>
      <c r="Q47" s="1">
        <f t="shared" si="1"/>
        <v>-144.874</v>
      </c>
      <c r="R47" s="1">
        <v>-7.2025</v>
      </c>
      <c r="S47" s="1">
        <v>-9.388</v>
      </c>
      <c r="T47" s="1">
        <v>-6.328</v>
      </c>
      <c r="U47" s="1">
        <v>-5.9739</v>
      </c>
      <c r="V47" s="1">
        <v>-6.056</v>
      </c>
      <c r="W47" s="1">
        <v>-6.3633</v>
      </c>
      <c r="X47" s="1">
        <v>-6.5035</v>
      </c>
      <c r="Y47" s="1">
        <v>0.208820384339778</v>
      </c>
      <c r="Z47" s="1">
        <v>0.194452998168353</v>
      </c>
      <c r="AA47" s="1">
        <v>0.636166666666667</v>
      </c>
      <c r="AB47" s="1">
        <v>0.62</v>
      </c>
      <c r="AC47" s="1">
        <v>0.214629833798668</v>
      </c>
      <c r="AD47" s="1">
        <v>0.211883830800106</v>
      </c>
      <c r="AE47" s="1">
        <v>0.76530933691597</v>
      </c>
      <c r="AF47" s="1">
        <v>0.824608077529327</v>
      </c>
      <c r="AG47" s="1">
        <v>0.829043431840237</v>
      </c>
      <c r="AH47" s="1">
        <v>0.793282070730399</v>
      </c>
      <c r="AI47" s="1">
        <v>0.8073146911656</v>
      </c>
      <c r="AJ47" s="1">
        <v>0.784727261296565</v>
      </c>
      <c r="AK47" s="1">
        <v>0.811524518497778</v>
      </c>
      <c r="AL47" s="1">
        <v>0.815192893630546</v>
      </c>
      <c r="AM47" s="1">
        <v>0.273237561080401</v>
      </c>
      <c r="AN47" s="1">
        <v>0.668817595889463</v>
      </c>
      <c r="AO47" s="1">
        <v>46</v>
      </c>
    </row>
    <row r="48" s="1" customFormat="1" spans="1:41">
      <c r="A48" s="1" t="s">
        <v>201</v>
      </c>
      <c r="B48" s="1" t="s">
        <v>202</v>
      </c>
      <c r="C48" s="1">
        <v>562.067185</v>
      </c>
      <c r="D48" s="1" t="s">
        <v>203</v>
      </c>
      <c r="E48" s="1" t="s">
        <v>204</v>
      </c>
      <c r="F48" s="1" t="s">
        <v>44</v>
      </c>
      <c r="G48" s="1" t="s">
        <v>45</v>
      </c>
      <c r="H48" s="1">
        <v>8</v>
      </c>
      <c r="I48" s="1">
        <v>64</v>
      </c>
      <c r="J48" s="1">
        <v>62</v>
      </c>
      <c r="K48" s="1">
        <v>96.875</v>
      </c>
      <c r="L48" s="1">
        <v>41</v>
      </c>
      <c r="M48" s="1">
        <v>64.0625</v>
      </c>
      <c r="N48" s="1">
        <v>41</v>
      </c>
      <c r="O48" s="1">
        <v>64.0625</v>
      </c>
      <c r="P48" s="1">
        <v>-6.77407317073171</v>
      </c>
      <c r="Q48" s="1">
        <f t="shared" si="1"/>
        <v>-277.737</v>
      </c>
      <c r="R48" s="1">
        <v>-6.673</v>
      </c>
      <c r="S48" s="1">
        <v>-8.582</v>
      </c>
      <c r="T48" s="1">
        <v>-5.384</v>
      </c>
      <c r="U48" s="1">
        <v>-5.65621951219512</v>
      </c>
      <c r="V48" s="1">
        <v>-5.67</v>
      </c>
      <c r="W48" s="1">
        <v>-6.00470731707317</v>
      </c>
      <c r="X48" s="1">
        <v>-5.982</v>
      </c>
      <c r="Y48" s="1">
        <v>0.402666811807064</v>
      </c>
      <c r="Z48" s="1">
        <v>0.38812478090348</v>
      </c>
      <c r="AA48" s="1">
        <v>0.610483870967742</v>
      </c>
      <c r="AB48" s="1">
        <v>0.59</v>
      </c>
      <c r="AC48" s="1">
        <v>0.262668148897966</v>
      </c>
      <c r="AD48" s="1">
        <v>0.286287515678615</v>
      </c>
      <c r="AE48" s="1">
        <v>0.78516574918613</v>
      </c>
      <c r="AF48" s="1">
        <v>0.804858476653959</v>
      </c>
      <c r="AG48" s="1">
        <v>0.758238522296397</v>
      </c>
      <c r="AH48" s="1">
        <v>0.798707472503682</v>
      </c>
      <c r="AI48" s="1">
        <v>0.824819958630173</v>
      </c>
      <c r="AJ48" s="1" t="s">
        <v>46</v>
      </c>
      <c r="AK48" s="1">
        <v>0.819524924464808</v>
      </c>
      <c r="AL48" s="1">
        <v>0.827511096225534</v>
      </c>
      <c r="AM48" s="1">
        <v>0.391878232497491</v>
      </c>
      <c r="AN48" s="1">
        <v>0.691027033505954</v>
      </c>
      <c r="AO48" s="1">
        <v>47</v>
      </c>
    </row>
    <row r="49" s="1" customFormat="1" spans="1:41">
      <c r="A49" s="1" t="s">
        <v>205</v>
      </c>
      <c r="B49" s="1" t="s">
        <v>206</v>
      </c>
      <c r="C49" s="1">
        <v>699.348573</v>
      </c>
      <c r="D49" s="1" t="s">
        <v>207</v>
      </c>
      <c r="E49" s="1" t="s">
        <v>208</v>
      </c>
      <c r="F49" s="1" t="s">
        <v>44</v>
      </c>
      <c r="G49" s="1" t="s">
        <v>45</v>
      </c>
      <c r="H49" s="1">
        <v>8</v>
      </c>
      <c r="I49" s="1">
        <v>64</v>
      </c>
      <c r="J49" s="1">
        <v>62</v>
      </c>
      <c r="K49" s="1">
        <v>96.875</v>
      </c>
      <c r="L49" s="1">
        <v>25</v>
      </c>
      <c r="M49" s="1">
        <v>39.0625</v>
      </c>
      <c r="N49" s="1">
        <v>25</v>
      </c>
      <c r="O49" s="1">
        <v>39.0625</v>
      </c>
      <c r="P49" s="1">
        <v>-7.26896</v>
      </c>
      <c r="Q49" s="1">
        <f t="shared" si="1"/>
        <v>-181.724</v>
      </c>
      <c r="R49" s="1">
        <v>-7.363</v>
      </c>
      <c r="S49" s="1">
        <v>-9.523</v>
      </c>
      <c r="T49" s="1">
        <v>-5.76</v>
      </c>
      <c r="U49" s="1">
        <v>-5.65136</v>
      </c>
      <c r="V49" s="1">
        <v>-5.779</v>
      </c>
      <c r="W49" s="1">
        <v>-5.87336</v>
      </c>
      <c r="X49" s="1">
        <v>-5.892</v>
      </c>
      <c r="Y49" s="1">
        <v>0.309612643701346</v>
      </c>
      <c r="Z49" s="1">
        <v>0.309634606188282</v>
      </c>
      <c r="AA49" s="1">
        <v>0.569193548387097</v>
      </c>
      <c r="AB49" s="1">
        <v>0.55</v>
      </c>
      <c r="AC49" s="1">
        <v>0.216978374292021</v>
      </c>
      <c r="AD49" s="1">
        <v>0.214779070581127</v>
      </c>
      <c r="AE49" s="1">
        <v>0.732940335800254</v>
      </c>
      <c r="AF49" s="1">
        <v>0.797695660379883</v>
      </c>
      <c r="AG49" s="1">
        <v>0.770773788137075</v>
      </c>
      <c r="AH49" s="1">
        <v>0.784495515298422</v>
      </c>
      <c r="AI49" s="1">
        <v>0.801346942474421</v>
      </c>
      <c r="AJ49" s="1" t="s">
        <v>46</v>
      </c>
      <c r="AK49" s="1">
        <v>0.821567892986364</v>
      </c>
      <c r="AL49" s="1">
        <v>0.809134355421377</v>
      </c>
      <c r="AM49" s="1">
        <v>0.265539197131159</v>
      </c>
      <c r="AN49" s="1">
        <v>0.603081544343119</v>
      </c>
      <c r="AO49" s="1">
        <v>48</v>
      </c>
    </row>
    <row r="50" s="1" customFormat="1" spans="1:41">
      <c r="A50" s="1" t="s">
        <v>209</v>
      </c>
      <c r="B50" s="1" t="s">
        <v>210</v>
      </c>
      <c r="C50" s="1">
        <v>810.018675</v>
      </c>
      <c r="D50" s="1" t="s">
        <v>211</v>
      </c>
      <c r="E50" s="1" t="s">
        <v>212</v>
      </c>
      <c r="F50" s="1" t="s">
        <v>44</v>
      </c>
      <c r="G50" s="1" t="s">
        <v>45</v>
      </c>
      <c r="H50" s="1">
        <v>8</v>
      </c>
      <c r="I50" s="1">
        <v>64</v>
      </c>
      <c r="J50" s="1">
        <v>61</v>
      </c>
      <c r="K50" s="1">
        <v>95.3125</v>
      </c>
      <c r="L50" s="1">
        <v>27</v>
      </c>
      <c r="M50" s="1">
        <v>42.1875</v>
      </c>
      <c r="N50" s="1">
        <v>27</v>
      </c>
      <c r="O50" s="1">
        <v>42.1875</v>
      </c>
      <c r="P50" s="1">
        <v>-11.1482222222222</v>
      </c>
      <c r="Q50" s="1">
        <f t="shared" si="1"/>
        <v>-301.001999999999</v>
      </c>
      <c r="R50" s="1">
        <v>-10.898</v>
      </c>
      <c r="S50" s="1">
        <v>-17.274</v>
      </c>
      <c r="T50" s="1">
        <v>2.33</v>
      </c>
      <c r="U50" s="1">
        <v>-7.29792592592592</v>
      </c>
      <c r="V50" s="1">
        <v>-10.254</v>
      </c>
      <c r="W50" s="1">
        <v>-7.79037037037037</v>
      </c>
      <c r="X50" s="1">
        <v>-10.482</v>
      </c>
      <c r="Y50" s="1">
        <v>0.289976445993599</v>
      </c>
      <c r="Z50" s="1">
        <v>0.277527885184121</v>
      </c>
      <c r="AA50" s="1">
        <v>0.591833333333333</v>
      </c>
      <c r="AB50" s="1">
        <v>0.59</v>
      </c>
      <c r="AC50" s="1">
        <v>0.289521119016453</v>
      </c>
      <c r="AD50" s="1">
        <v>0.297538166197396</v>
      </c>
      <c r="AE50" s="1">
        <v>0.733886171712685</v>
      </c>
      <c r="AF50" s="1">
        <v>0.791652737057043</v>
      </c>
      <c r="AG50" s="1">
        <v>0.822189195813525</v>
      </c>
      <c r="AH50" s="1">
        <v>0.80061480522453</v>
      </c>
      <c r="AI50" s="1">
        <v>0.826410140947008</v>
      </c>
      <c r="AJ50" s="1">
        <v>0.819375697865958</v>
      </c>
      <c r="AK50" s="1">
        <v>0.817190109942914</v>
      </c>
      <c r="AL50" s="1">
        <v>0.819300404745263</v>
      </c>
      <c r="AM50" s="1">
        <v>0.275311141468072</v>
      </c>
      <c r="AN50" s="1">
        <v>0.615208586545378</v>
      </c>
      <c r="AO50" s="1">
        <v>49</v>
      </c>
    </row>
    <row r="51" s="1" customFormat="1" spans="1:41">
      <c r="A51" s="1" t="s">
        <v>213</v>
      </c>
      <c r="B51" s="1" t="s">
        <v>214</v>
      </c>
      <c r="C51" s="1">
        <v>711.616006</v>
      </c>
      <c r="D51" s="1" t="s">
        <v>215</v>
      </c>
      <c r="E51" s="1" t="s">
        <v>216</v>
      </c>
      <c r="F51" s="1" t="s">
        <v>44</v>
      </c>
      <c r="G51" s="1" t="s">
        <v>45</v>
      </c>
      <c r="H51" s="1">
        <v>8</v>
      </c>
      <c r="I51" s="1">
        <v>64</v>
      </c>
      <c r="J51" s="1">
        <v>63</v>
      </c>
      <c r="K51" s="1">
        <v>98.4375</v>
      </c>
      <c r="L51" s="1">
        <v>59</v>
      </c>
      <c r="M51" s="1">
        <v>92.1875</v>
      </c>
      <c r="N51" s="1">
        <v>59</v>
      </c>
      <c r="O51" s="1">
        <v>92.1875</v>
      </c>
      <c r="P51" s="1">
        <v>-4.76138983050847</v>
      </c>
      <c r="Q51" s="1">
        <f t="shared" si="1"/>
        <v>-280.922</v>
      </c>
      <c r="R51" s="1">
        <v>-4.513</v>
      </c>
      <c r="S51" s="1">
        <v>-7.563</v>
      </c>
      <c r="T51" s="1">
        <v>-3.694</v>
      </c>
      <c r="U51" s="1">
        <v>-2.85667796610169</v>
      </c>
      <c r="V51" s="1">
        <v>-2.854</v>
      </c>
      <c r="W51" s="1">
        <v>-3.42828813559322</v>
      </c>
      <c r="X51" s="1">
        <v>-3.395</v>
      </c>
      <c r="Y51" s="1">
        <v>0.399452960936573</v>
      </c>
      <c r="Z51" s="1">
        <v>0.408525658249441</v>
      </c>
      <c r="AA51" s="1">
        <v>0.669206349206349</v>
      </c>
      <c r="AB51" s="1">
        <v>0.66</v>
      </c>
      <c r="AC51" s="1">
        <v>0.213868212710876</v>
      </c>
      <c r="AD51" s="1">
        <v>0.20830104693163</v>
      </c>
      <c r="AE51" s="1">
        <v>0.779884485548512</v>
      </c>
      <c r="AF51" s="1">
        <v>0.810687140533308</v>
      </c>
      <c r="AG51" s="1" t="s">
        <v>46</v>
      </c>
      <c r="AH51" s="1">
        <v>0.800094110023144</v>
      </c>
      <c r="AI51" s="1">
        <v>0.817354875010346</v>
      </c>
      <c r="AJ51" s="1" t="s">
        <v>46</v>
      </c>
      <c r="AK51" s="1">
        <v>0.800515065211754</v>
      </c>
      <c r="AL51" s="1">
        <v>0.818860042533531</v>
      </c>
      <c r="AM51" s="1">
        <v>0.466920640242074</v>
      </c>
      <c r="AN51" s="1">
        <v>0.708944140774096</v>
      </c>
      <c r="AO51" s="1">
        <v>50</v>
      </c>
    </row>
    <row r="52" s="1" customFormat="1" spans="1:41">
      <c r="A52" s="1" t="s">
        <v>217</v>
      </c>
      <c r="B52" s="1" t="s">
        <v>218</v>
      </c>
      <c r="C52" s="1">
        <v>1697.101156</v>
      </c>
      <c r="D52" s="1" t="s">
        <v>219</v>
      </c>
      <c r="E52" s="1" t="s">
        <v>220</v>
      </c>
      <c r="F52" s="1" t="s">
        <v>44</v>
      </c>
      <c r="G52" s="1" t="s">
        <v>45</v>
      </c>
      <c r="H52" s="1">
        <v>8</v>
      </c>
      <c r="I52" s="1">
        <v>64</v>
      </c>
      <c r="J52" s="1">
        <v>62</v>
      </c>
      <c r="K52" s="1">
        <v>96.875</v>
      </c>
      <c r="L52" s="1">
        <v>38</v>
      </c>
      <c r="M52" s="1">
        <v>59.375</v>
      </c>
      <c r="N52" s="1">
        <v>38</v>
      </c>
      <c r="O52" s="1">
        <v>59.375</v>
      </c>
      <c r="P52" s="1">
        <v>-8.59484210526316</v>
      </c>
      <c r="Q52" s="1">
        <f t="shared" si="1"/>
        <v>-326.604</v>
      </c>
      <c r="R52" s="1">
        <v>-8.4245</v>
      </c>
      <c r="S52" s="1">
        <v>-11.491</v>
      </c>
      <c r="T52" s="1">
        <v>-6.433</v>
      </c>
      <c r="U52" s="1">
        <v>-6.5675</v>
      </c>
      <c r="V52" s="1">
        <v>-6.4845</v>
      </c>
      <c r="W52" s="1">
        <v>-6.88328947368421</v>
      </c>
      <c r="X52" s="1">
        <v>-6.92</v>
      </c>
      <c r="Y52" s="1">
        <v>0.224320973984345</v>
      </c>
      <c r="Z52" s="1">
        <v>0.201049753133434</v>
      </c>
      <c r="AA52" s="1">
        <v>0.568387096774194</v>
      </c>
      <c r="AB52" s="1">
        <v>0.575</v>
      </c>
      <c r="AC52" s="1">
        <v>0.152555359124332</v>
      </c>
      <c r="AD52" s="1">
        <v>0.141679189577898</v>
      </c>
      <c r="AE52" s="1">
        <v>0.732817432050247</v>
      </c>
      <c r="AF52" s="1">
        <v>0.806994033928269</v>
      </c>
      <c r="AG52" s="1">
        <v>0.776343153318326</v>
      </c>
      <c r="AH52" s="1">
        <v>0.781374088772954</v>
      </c>
      <c r="AI52" s="1">
        <v>0.820466089560485</v>
      </c>
      <c r="AJ52" s="1">
        <v>0.822546958919732</v>
      </c>
      <c r="AK52" s="1">
        <v>0.792792722024374</v>
      </c>
      <c r="AL52" s="1">
        <v>0.784130369551376</v>
      </c>
      <c r="AM52" s="1">
        <v>0.270834685120519</v>
      </c>
      <c r="AN52" s="1">
        <v>0.611698947250515</v>
      </c>
      <c r="AO52" s="1">
        <v>51</v>
      </c>
    </row>
    <row r="53" s="1" customFormat="1" spans="1:41">
      <c r="A53" s="1" t="s">
        <v>221</v>
      </c>
      <c r="B53" s="1" t="s">
        <v>222</v>
      </c>
      <c r="C53" s="1">
        <v>1733.932169</v>
      </c>
      <c r="D53" s="1" t="s">
        <v>223</v>
      </c>
      <c r="E53" s="1" t="s">
        <v>224</v>
      </c>
      <c r="F53" s="1" t="s">
        <v>44</v>
      </c>
      <c r="G53" s="1" t="s">
        <v>45</v>
      </c>
      <c r="H53" s="1">
        <v>8</v>
      </c>
      <c r="I53" s="1">
        <v>64</v>
      </c>
      <c r="J53" s="1">
        <v>64</v>
      </c>
      <c r="K53" s="1">
        <v>100</v>
      </c>
      <c r="L53" s="1">
        <v>42</v>
      </c>
      <c r="M53" s="1">
        <v>65.625</v>
      </c>
      <c r="N53" s="1">
        <v>42</v>
      </c>
      <c r="O53" s="1">
        <v>65.625</v>
      </c>
      <c r="P53" s="1">
        <v>-8.9417380952381</v>
      </c>
      <c r="Q53" s="1">
        <f t="shared" si="1"/>
        <v>-375.553</v>
      </c>
      <c r="R53" s="1">
        <v>-8.704</v>
      </c>
      <c r="S53" s="1">
        <v>-16.075</v>
      </c>
      <c r="T53" s="1">
        <v>-6.812</v>
      </c>
      <c r="U53" s="1">
        <v>-6.73214285714286</v>
      </c>
      <c r="V53" s="1">
        <v>-6.509</v>
      </c>
      <c r="W53" s="1">
        <v>-6.99311904761905</v>
      </c>
      <c r="X53" s="1">
        <v>-6.583</v>
      </c>
      <c r="Y53" s="1">
        <v>0.17705629248747</v>
      </c>
      <c r="Z53" s="1">
        <v>0.156980077620157</v>
      </c>
      <c r="AA53" s="1">
        <v>0.56203125</v>
      </c>
      <c r="AB53" s="1">
        <v>0.56</v>
      </c>
      <c r="AC53" s="1">
        <v>0.153047054776899</v>
      </c>
      <c r="AD53" s="1">
        <v>0.146856620556994</v>
      </c>
      <c r="AE53" s="1">
        <v>0.742244219615961</v>
      </c>
      <c r="AF53" s="1">
        <v>0.799654153243649</v>
      </c>
      <c r="AG53" s="1">
        <v>0.790361469826412</v>
      </c>
      <c r="AH53" s="1">
        <v>0.775743379836015</v>
      </c>
      <c r="AI53" s="1">
        <v>0.811977779283226</v>
      </c>
      <c r="AJ53" s="1">
        <v>0.825481094981821</v>
      </c>
      <c r="AK53" s="1">
        <v>0.802628128539416</v>
      </c>
      <c r="AL53" s="1">
        <v>0.809925274881043</v>
      </c>
      <c r="AM53" s="1">
        <v>0.242916944238368</v>
      </c>
      <c r="AN53" s="1">
        <v>0.621877434927582</v>
      </c>
      <c r="AO53" s="1">
        <v>52</v>
      </c>
    </row>
    <row r="54" s="1" customFormat="1" spans="1:41">
      <c r="A54" s="1" t="s">
        <v>225</v>
      </c>
      <c r="B54" s="1" t="s">
        <v>226</v>
      </c>
      <c r="C54" s="1">
        <v>1582.63385</v>
      </c>
      <c r="D54" s="1" t="s">
        <v>227</v>
      </c>
      <c r="E54" s="1" t="s">
        <v>228</v>
      </c>
      <c r="F54" s="1" t="s">
        <v>44</v>
      </c>
      <c r="G54" s="1" t="s">
        <v>45</v>
      </c>
      <c r="H54" s="1">
        <v>8</v>
      </c>
      <c r="I54" s="1">
        <v>64</v>
      </c>
      <c r="J54" s="1">
        <v>63</v>
      </c>
      <c r="K54" s="1">
        <v>98.4375</v>
      </c>
      <c r="L54" s="1">
        <v>29</v>
      </c>
      <c r="M54" s="1">
        <v>45.3125</v>
      </c>
      <c r="N54" s="1">
        <v>29</v>
      </c>
      <c r="O54" s="1">
        <v>45.3125</v>
      </c>
      <c r="P54" s="1">
        <v>-9.473</v>
      </c>
      <c r="Q54" s="1">
        <f t="shared" si="1"/>
        <v>-274.717</v>
      </c>
      <c r="R54" s="1">
        <v>-9.627</v>
      </c>
      <c r="S54" s="1">
        <v>-12.879</v>
      </c>
      <c r="T54" s="1">
        <v>-7.135</v>
      </c>
      <c r="U54" s="1">
        <v>-4.958</v>
      </c>
      <c r="V54" s="1">
        <v>-6.112</v>
      </c>
      <c r="W54" s="1">
        <v>-7.10620689655172</v>
      </c>
      <c r="X54" s="1">
        <v>-6.531</v>
      </c>
      <c r="Y54" s="1">
        <v>0.131841945044355</v>
      </c>
      <c r="Z54" s="1">
        <v>0.114587665445447</v>
      </c>
      <c r="AA54" s="1">
        <v>0.495555555555556</v>
      </c>
      <c r="AB54" s="1">
        <v>0.49</v>
      </c>
      <c r="AC54" s="1">
        <v>0.194802522223843</v>
      </c>
      <c r="AD54" s="1">
        <v>0.200867952614948</v>
      </c>
      <c r="AE54" s="1">
        <v>0.706261958616046</v>
      </c>
      <c r="AF54" s="1">
        <v>0.787153772786643</v>
      </c>
      <c r="AG54" s="1">
        <v>0.785594029932237</v>
      </c>
      <c r="AH54" s="1">
        <v>0.790838217556158</v>
      </c>
      <c r="AI54" s="1">
        <v>0.816353706823033</v>
      </c>
      <c r="AJ54" s="1">
        <v>0.822600420075317</v>
      </c>
      <c r="AK54" s="1">
        <v>0.807829752229771</v>
      </c>
      <c r="AL54" s="1">
        <v>0.808327209628419</v>
      </c>
      <c r="AM54" s="1">
        <v>0.268291389989816</v>
      </c>
      <c r="AN54" s="1">
        <v>0.566646532483753</v>
      </c>
      <c r="AO54" s="1">
        <v>53</v>
      </c>
    </row>
    <row r="55" s="1" customFormat="1" spans="1:41">
      <c r="A55" s="1" t="s">
        <v>229</v>
      </c>
      <c r="B55" s="1" t="s">
        <v>230</v>
      </c>
      <c r="C55" s="1">
        <v>1667.000464</v>
      </c>
      <c r="D55" s="1" t="s">
        <v>231</v>
      </c>
      <c r="E55" s="1" t="s">
        <v>232</v>
      </c>
      <c r="F55" s="1" t="s">
        <v>44</v>
      </c>
      <c r="G55" s="1" t="s">
        <v>45</v>
      </c>
      <c r="H55" s="1">
        <v>8</v>
      </c>
      <c r="I55" s="1">
        <v>64</v>
      </c>
      <c r="J55" s="1">
        <v>63</v>
      </c>
      <c r="K55" s="1">
        <v>98.4375</v>
      </c>
      <c r="L55" s="1">
        <v>28</v>
      </c>
      <c r="M55" s="1">
        <v>43.75</v>
      </c>
      <c r="N55" s="1">
        <v>28</v>
      </c>
      <c r="O55" s="1">
        <v>43.75</v>
      </c>
      <c r="P55" s="1">
        <v>-9.12417857142857</v>
      </c>
      <c r="Q55" s="1">
        <f t="shared" si="1"/>
        <v>-255.477</v>
      </c>
      <c r="R55" s="1">
        <v>-8.8185</v>
      </c>
      <c r="S55" s="1">
        <v>-12.844</v>
      </c>
      <c r="T55" s="1">
        <v>-5.967</v>
      </c>
      <c r="U55" s="1">
        <v>-6.23067857142857</v>
      </c>
      <c r="V55" s="1">
        <v>-5.899</v>
      </c>
      <c r="W55" s="1">
        <v>-6.47003571428571</v>
      </c>
      <c r="X55" s="1">
        <v>-6.134</v>
      </c>
      <c r="Y55" s="1">
        <v>0.22750531636723</v>
      </c>
      <c r="Z55" s="1">
        <v>0.21010407932209</v>
      </c>
      <c r="AA55" s="1">
        <v>0.576507936507937</v>
      </c>
      <c r="AB55" s="1">
        <v>0.58</v>
      </c>
      <c r="AC55" s="1">
        <v>0.212181888275186</v>
      </c>
      <c r="AD55" s="1">
        <v>0.202502593686214</v>
      </c>
      <c r="AE55" s="1">
        <v>0.710330548142142</v>
      </c>
      <c r="AF55" s="1">
        <v>0.795171607107327</v>
      </c>
      <c r="AG55" s="1">
        <v>0.801563681032211</v>
      </c>
      <c r="AH55" s="1">
        <v>0.790626173128695</v>
      </c>
      <c r="AI55" s="1">
        <v>0.808323328343568</v>
      </c>
      <c r="AJ55" s="1">
        <v>0.772014724821353</v>
      </c>
      <c r="AK55" s="1">
        <v>0.815191979926707</v>
      </c>
      <c r="AL55" s="1">
        <v>0.811716407105837</v>
      </c>
      <c r="AM55" s="1">
        <v>0.279168571250353</v>
      </c>
      <c r="AN55" s="1">
        <v>0.588118099798084</v>
      </c>
      <c r="AO55" s="1">
        <v>54</v>
      </c>
    </row>
    <row r="56" s="1" customFormat="1" spans="1:41">
      <c r="A56" s="1" t="s">
        <v>233</v>
      </c>
      <c r="B56" s="1" t="s">
        <v>234</v>
      </c>
      <c r="C56" s="1">
        <v>558.758547</v>
      </c>
      <c r="D56" s="1" t="s">
        <v>235</v>
      </c>
      <c r="E56" s="1" t="s">
        <v>236</v>
      </c>
      <c r="F56" s="1" t="s">
        <v>44</v>
      </c>
      <c r="G56" s="1" t="s">
        <v>45</v>
      </c>
      <c r="H56" s="1">
        <v>8</v>
      </c>
      <c r="I56" s="1">
        <v>64</v>
      </c>
      <c r="J56" s="1">
        <v>63</v>
      </c>
      <c r="K56" s="1">
        <v>98.4375</v>
      </c>
      <c r="L56" s="1">
        <v>51</v>
      </c>
      <c r="M56" s="1">
        <v>79.6875</v>
      </c>
      <c r="N56" s="1">
        <v>51</v>
      </c>
      <c r="O56" s="1">
        <v>79.6875</v>
      </c>
      <c r="P56" s="1">
        <v>-5.97072549019608</v>
      </c>
      <c r="Q56" s="1">
        <f t="shared" si="1"/>
        <v>-304.507</v>
      </c>
      <c r="R56" s="1">
        <v>-5.47</v>
      </c>
      <c r="S56" s="1">
        <v>-10.985</v>
      </c>
      <c r="T56" s="1">
        <v>-4.566</v>
      </c>
      <c r="U56" s="1">
        <v>-3.3923137254902</v>
      </c>
      <c r="V56" s="1">
        <v>-3.139</v>
      </c>
      <c r="W56" s="1">
        <v>-4.05192156862745</v>
      </c>
      <c r="X56" s="1">
        <v>-3.833</v>
      </c>
      <c r="Y56" s="1">
        <v>0.455508704177105</v>
      </c>
      <c r="Z56" s="1">
        <v>0.470934791350414</v>
      </c>
      <c r="AA56" s="1">
        <v>0.68241935483871</v>
      </c>
      <c r="AB56" s="1">
        <v>0.71</v>
      </c>
      <c r="AC56" s="1">
        <v>0.21825460970584</v>
      </c>
      <c r="AD56" s="1">
        <v>0.24190614713048</v>
      </c>
      <c r="AE56" s="1">
        <v>0.78007324258054</v>
      </c>
      <c r="AF56" s="1">
        <v>0.808473029496346</v>
      </c>
      <c r="AG56" s="1">
        <v>0.773184298063386</v>
      </c>
      <c r="AH56" s="1">
        <v>0.805093320663479</v>
      </c>
      <c r="AI56" s="1">
        <v>0.82088557316413</v>
      </c>
      <c r="AJ56" s="1" t="s">
        <v>46</v>
      </c>
      <c r="AK56" s="1">
        <v>0.813409720042434</v>
      </c>
      <c r="AL56" s="1">
        <v>0.816835200976591</v>
      </c>
      <c r="AM56" s="1">
        <v>0.508398021464076</v>
      </c>
      <c r="AN56" s="1">
        <v>0.68731567902384</v>
      </c>
      <c r="AO56" s="1">
        <v>55</v>
      </c>
    </row>
    <row r="57" s="1" customFormat="1" spans="1:41">
      <c r="A57" s="1" t="s">
        <v>237</v>
      </c>
      <c r="B57" s="1" t="s">
        <v>238</v>
      </c>
      <c r="C57" s="1">
        <v>521.765538</v>
      </c>
      <c r="D57" s="1" t="s">
        <v>239</v>
      </c>
      <c r="E57" s="1" t="s">
        <v>240</v>
      </c>
      <c r="F57" s="1" t="s">
        <v>44</v>
      </c>
      <c r="G57" s="1" t="s">
        <v>45</v>
      </c>
      <c r="H57" s="1">
        <v>8</v>
      </c>
      <c r="I57" s="1">
        <v>64</v>
      </c>
      <c r="J57" s="1">
        <v>63</v>
      </c>
      <c r="K57" s="1">
        <v>98.4375</v>
      </c>
      <c r="L57" s="1">
        <v>54</v>
      </c>
      <c r="M57" s="1">
        <v>84.375</v>
      </c>
      <c r="N57" s="1">
        <v>54</v>
      </c>
      <c r="O57" s="1">
        <v>84.375</v>
      </c>
      <c r="P57" s="1">
        <v>-5.783</v>
      </c>
      <c r="Q57" s="1">
        <f t="shared" si="1"/>
        <v>-312.282</v>
      </c>
      <c r="R57" s="1">
        <v>-5.419</v>
      </c>
      <c r="S57" s="1">
        <v>-10.215</v>
      </c>
      <c r="T57" s="1">
        <v>-4.338</v>
      </c>
      <c r="U57" s="1">
        <v>-3.03677777777778</v>
      </c>
      <c r="V57" s="1">
        <v>-3.2205</v>
      </c>
      <c r="W57" s="1">
        <v>-3.88735185185185</v>
      </c>
      <c r="X57" s="1">
        <v>-3.656</v>
      </c>
      <c r="Y57" s="1">
        <v>0.390025579337886</v>
      </c>
      <c r="Z57" s="1">
        <v>0.376459795825419</v>
      </c>
      <c r="AA57" s="1">
        <v>0.648571428571429</v>
      </c>
      <c r="AB57" s="1">
        <v>0.64</v>
      </c>
      <c r="AC57" s="1">
        <v>0.232239000053017</v>
      </c>
      <c r="AD57" s="1">
        <v>0.208693076699081</v>
      </c>
      <c r="AE57" s="1">
        <v>0.784967163584087</v>
      </c>
      <c r="AF57" s="1">
        <v>0.816717587385927</v>
      </c>
      <c r="AG57" s="1">
        <v>0.811190748226156</v>
      </c>
      <c r="AH57" s="1">
        <v>0.802984123429927</v>
      </c>
      <c r="AI57" s="1">
        <v>0.824270644095358</v>
      </c>
      <c r="AJ57" s="1" t="s">
        <v>46</v>
      </c>
      <c r="AK57" s="1">
        <v>0.817034326684796</v>
      </c>
      <c r="AL57" s="1">
        <v>0.818638378608974</v>
      </c>
      <c r="AM57" s="1">
        <v>0.48814743484419</v>
      </c>
      <c r="AN57" s="1">
        <v>0.704919908066347</v>
      </c>
      <c r="AO57" s="1">
        <v>56</v>
      </c>
    </row>
    <row r="58" s="1" customFormat="1" spans="1:41">
      <c r="A58" s="1" t="s">
        <v>241</v>
      </c>
      <c r="B58" s="1" t="s">
        <v>242</v>
      </c>
      <c r="C58" s="1">
        <v>1787.229462</v>
      </c>
      <c r="D58" s="1" t="s">
        <v>243</v>
      </c>
      <c r="E58" s="1" t="s">
        <v>244</v>
      </c>
      <c r="F58" s="1" t="s">
        <v>44</v>
      </c>
      <c r="G58" s="1" t="s">
        <v>45</v>
      </c>
      <c r="H58" s="1">
        <v>8</v>
      </c>
      <c r="I58" s="1">
        <v>64</v>
      </c>
      <c r="J58" s="1">
        <v>63</v>
      </c>
      <c r="K58" s="1">
        <v>98.4375</v>
      </c>
      <c r="L58" s="1">
        <v>48</v>
      </c>
      <c r="M58" s="1">
        <v>75</v>
      </c>
      <c r="N58" s="1">
        <v>48</v>
      </c>
      <c r="O58" s="1">
        <v>75</v>
      </c>
      <c r="P58" s="1">
        <v>-8.1514375</v>
      </c>
      <c r="Q58" s="1">
        <f t="shared" si="1"/>
        <v>-391.269</v>
      </c>
      <c r="R58" s="1">
        <v>-8.2055</v>
      </c>
      <c r="S58" s="1">
        <v>-11.406</v>
      </c>
      <c r="T58" s="1">
        <v>-5.134</v>
      </c>
      <c r="U58" s="1">
        <v>-5.29979166666667</v>
      </c>
      <c r="V58" s="1">
        <v>-5.2</v>
      </c>
      <c r="W58" s="1">
        <v>-5.5988125</v>
      </c>
      <c r="X58" s="1">
        <v>-5.405</v>
      </c>
      <c r="Y58" s="1">
        <v>0.322596341846403</v>
      </c>
      <c r="Z58" s="1">
        <v>0.280808944075257</v>
      </c>
      <c r="AA58" s="1">
        <v>0.602857142857143</v>
      </c>
      <c r="AB58" s="1">
        <v>0.59</v>
      </c>
      <c r="AC58" s="1">
        <v>0.197755062116221</v>
      </c>
      <c r="AD58" s="1">
        <v>0.191149802691263</v>
      </c>
      <c r="AE58" s="1">
        <v>0.730383427496566</v>
      </c>
      <c r="AF58" s="1">
        <v>0.79886107210487</v>
      </c>
      <c r="AG58" s="1">
        <v>0.772513702868722</v>
      </c>
      <c r="AH58" s="1">
        <v>0.789644177419339</v>
      </c>
      <c r="AI58" s="1">
        <v>0.811056246434768</v>
      </c>
      <c r="AJ58" s="1">
        <v>0.806320697093169</v>
      </c>
      <c r="AK58" s="1">
        <v>0.80807804719676</v>
      </c>
      <c r="AL58" s="1">
        <v>0.818947466575976</v>
      </c>
      <c r="AM58" s="1">
        <v>0.285177587027142</v>
      </c>
      <c r="AN58" s="1">
        <v>0.607437248413576</v>
      </c>
      <c r="AO58" s="1">
        <v>57</v>
      </c>
    </row>
    <row r="59" s="1" customFormat="1" spans="1:41">
      <c r="A59" s="1" t="s">
        <v>245</v>
      </c>
      <c r="B59" s="1" t="s">
        <v>246</v>
      </c>
      <c r="C59" s="1">
        <v>701.182026</v>
      </c>
      <c r="D59" s="1" t="s">
        <v>247</v>
      </c>
      <c r="E59" s="1" t="s">
        <v>248</v>
      </c>
      <c r="F59" s="1" t="s">
        <v>44</v>
      </c>
      <c r="G59" s="1" t="s">
        <v>45</v>
      </c>
      <c r="H59" s="1">
        <v>8</v>
      </c>
      <c r="I59" s="1">
        <v>64</v>
      </c>
      <c r="J59" s="1">
        <v>63</v>
      </c>
      <c r="K59" s="1">
        <v>98.4375</v>
      </c>
      <c r="L59" s="1">
        <v>37</v>
      </c>
      <c r="M59" s="1">
        <v>57.8125</v>
      </c>
      <c r="N59" s="1">
        <v>37</v>
      </c>
      <c r="O59" s="1">
        <v>57.8125</v>
      </c>
      <c r="P59" s="1">
        <v>-6.06978378378378</v>
      </c>
      <c r="Q59" s="1">
        <f t="shared" si="1"/>
        <v>-224.582</v>
      </c>
      <c r="R59" s="1">
        <v>-6.11</v>
      </c>
      <c r="S59" s="1">
        <v>-8.455</v>
      </c>
      <c r="T59" s="1">
        <v>-1.728</v>
      </c>
      <c r="U59" s="1">
        <v>36.6081081081081</v>
      </c>
      <c r="V59" s="1">
        <v>47.14</v>
      </c>
      <c r="W59" s="1">
        <v>5.25745945945946</v>
      </c>
      <c r="X59" s="1">
        <v>5.164</v>
      </c>
      <c r="Y59" s="1">
        <v>0.367467931793778</v>
      </c>
      <c r="Z59" s="1">
        <v>0.332482852944172</v>
      </c>
      <c r="AA59" s="1">
        <v>0.572380952380952</v>
      </c>
      <c r="AB59" s="1">
        <v>0.57</v>
      </c>
      <c r="AC59" s="1">
        <v>0.228640499115223</v>
      </c>
      <c r="AD59" s="1">
        <v>0.209361980604969</v>
      </c>
      <c r="AE59" s="1">
        <v>0.762442387750658</v>
      </c>
      <c r="AF59" s="1">
        <v>0.809624799652491</v>
      </c>
      <c r="AG59" s="1">
        <v>0.766058623338141</v>
      </c>
      <c r="AH59" s="1">
        <v>0.77967096733178</v>
      </c>
      <c r="AI59" s="1">
        <v>0.808052383647695</v>
      </c>
      <c r="AJ59" s="1">
        <v>0.772470731457771</v>
      </c>
      <c r="AK59" s="1">
        <v>0.806103350803794</v>
      </c>
      <c r="AL59" s="1">
        <v>0.807144073167701</v>
      </c>
      <c r="AM59" s="1">
        <v>0.319398217285563</v>
      </c>
      <c r="AN59" s="1">
        <v>0.643692811057977</v>
      </c>
      <c r="AO59" s="1">
        <v>58</v>
      </c>
    </row>
    <row r="60" s="1" customFormat="1" spans="1:41">
      <c r="A60" s="1" t="s">
        <v>249</v>
      </c>
      <c r="B60" s="1" t="s">
        <v>250</v>
      </c>
      <c r="C60" s="1">
        <v>1328.311925</v>
      </c>
      <c r="D60" s="1" t="s">
        <v>251</v>
      </c>
      <c r="E60" s="1" t="s">
        <v>252</v>
      </c>
      <c r="F60" s="1" t="s">
        <v>44</v>
      </c>
      <c r="G60" s="1" t="s">
        <v>45</v>
      </c>
      <c r="H60" s="1">
        <v>8</v>
      </c>
      <c r="I60" s="1">
        <v>64</v>
      </c>
      <c r="J60" s="1">
        <v>63</v>
      </c>
      <c r="K60" s="1">
        <v>98.4375</v>
      </c>
      <c r="L60" s="1">
        <v>21</v>
      </c>
      <c r="M60" s="1">
        <v>32.8125</v>
      </c>
      <c r="N60" s="1">
        <v>21</v>
      </c>
      <c r="O60" s="1">
        <v>32.8125</v>
      </c>
      <c r="P60" s="1">
        <v>-10.3302380952381</v>
      </c>
      <c r="Q60" s="1">
        <f t="shared" si="1"/>
        <v>-216.935</v>
      </c>
      <c r="R60" s="1">
        <v>-10.288</v>
      </c>
      <c r="S60" s="1">
        <v>-12.663</v>
      </c>
      <c r="T60" s="1">
        <v>-8.158</v>
      </c>
      <c r="U60" s="1">
        <v>1.70933333333333</v>
      </c>
      <c r="V60" s="1">
        <v>-8.156</v>
      </c>
      <c r="W60" s="1">
        <v>-3.79571428571428</v>
      </c>
      <c r="X60" s="1">
        <v>-8.356</v>
      </c>
      <c r="Y60" s="1">
        <v>0.162008993831883</v>
      </c>
      <c r="Z60" s="1">
        <v>0.143860330139286</v>
      </c>
      <c r="AA60" s="1">
        <v>0.554126984126984</v>
      </c>
      <c r="AB60" s="1">
        <v>0.57</v>
      </c>
      <c r="AC60" s="1">
        <v>0.145420516876261</v>
      </c>
      <c r="AD60" s="1">
        <v>0.137978060338382</v>
      </c>
      <c r="AE60" s="1">
        <v>0.743148208069647</v>
      </c>
      <c r="AF60" s="1">
        <v>0.789805489073355</v>
      </c>
      <c r="AG60" s="1">
        <v>0.820605869722489</v>
      </c>
      <c r="AH60" s="1">
        <v>0.791226111162403</v>
      </c>
      <c r="AI60" s="1">
        <v>0.807893635772311</v>
      </c>
      <c r="AJ60" s="1">
        <v>0.809552127412896</v>
      </c>
      <c r="AK60" s="1">
        <v>0.804531736013466</v>
      </c>
      <c r="AL60" s="1">
        <v>0.809197228766415</v>
      </c>
      <c r="AM60" s="1">
        <v>0.262863758936878</v>
      </c>
      <c r="AN60" s="1">
        <v>0.629906858216734</v>
      </c>
      <c r="AO60" s="1">
        <v>59</v>
      </c>
    </row>
    <row r="61" s="1" customFormat="1" spans="1:41">
      <c r="A61" s="1" t="s">
        <v>253</v>
      </c>
      <c r="B61" s="1" t="s">
        <v>254</v>
      </c>
      <c r="C61" s="1">
        <v>2574.510525</v>
      </c>
      <c r="D61" s="1" t="s">
        <v>255</v>
      </c>
      <c r="E61" s="1" t="s">
        <v>256</v>
      </c>
      <c r="F61" s="1" t="s">
        <v>44</v>
      </c>
      <c r="G61" s="1" t="s">
        <v>45</v>
      </c>
      <c r="H61" s="1">
        <v>8</v>
      </c>
      <c r="I61" s="1">
        <v>64</v>
      </c>
      <c r="J61" s="1">
        <v>57</v>
      </c>
      <c r="K61" s="1">
        <v>89.0625</v>
      </c>
      <c r="L61" s="1">
        <v>43</v>
      </c>
      <c r="M61" s="1">
        <v>67.1875</v>
      </c>
      <c r="N61" s="1">
        <v>43</v>
      </c>
      <c r="O61" s="1">
        <v>67.1875</v>
      </c>
      <c r="P61" s="1">
        <v>-9.71304651162791</v>
      </c>
      <c r="Q61" s="1">
        <f t="shared" si="1"/>
        <v>-417.661</v>
      </c>
      <c r="R61" s="1">
        <v>-9.687</v>
      </c>
      <c r="S61" s="1">
        <v>-12.579</v>
      </c>
      <c r="T61" s="1">
        <v>-6.821</v>
      </c>
      <c r="U61" s="1">
        <v>-8.52183720930232</v>
      </c>
      <c r="V61" s="1">
        <v>-8.455</v>
      </c>
      <c r="W61" s="1">
        <v>-8.78479069767442</v>
      </c>
      <c r="X61" s="1">
        <v>-8.565</v>
      </c>
      <c r="Y61" s="1">
        <v>0.101147125555835</v>
      </c>
      <c r="Z61" s="1">
        <v>0.074902739933981</v>
      </c>
      <c r="AA61" s="1">
        <v>0.526666666666667</v>
      </c>
      <c r="AB61" s="1">
        <v>0.52</v>
      </c>
      <c r="AC61" s="1">
        <v>0.151491374404654</v>
      </c>
      <c r="AD61" s="1">
        <v>0.149514320240057</v>
      </c>
      <c r="AE61" s="1">
        <v>0.731012236244318</v>
      </c>
      <c r="AF61" s="1">
        <v>0.794060060756927</v>
      </c>
      <c r="AG61" s="1">
        <v>0.791305766360292</v>
      </c>
      <c r="AH61" s="1">
        <v>0.780887341436993</v>
      </c>
      <c r="AI61" s="1">
        <v>0.812925539229424</v>
      </c>
      <c r="AJ61" s="1">
        <v>0.824319107942669</v>
      </c>
      <c r="AK61" s="1">
        <v>0.795084074559055</v>
      </c>
      <c r="AL61" s="1">
        <v>0.798675173994294</v>
      </c>
      <c r="AM61" s="1">
        <v>0.23151869173668</v>
      </c>
      <c r="AN61" s="1">
        <v>0.591581234885058</v>
      </c>
      <c r="AO61" s="1">
        <v>60</v>
      </c>
    </row>
    <row r="62" s="1" customFormat="1" spans="1:41">
      <c r="A62" s="1" t="s">
        <v>257</v>
      </c>
      <c r="B62" s="1" t="s">
        <v>258</v>
      </c>
      <c r="C62" s="1">
        <v>268.924336</v>
      </c>
      <c r="D62" s="1" t="s">
        <v>259</v>
      </c>
      <c r="E62" s="1" t="s">
        <v>260</v>
      </c>
      <c r="F62" s="1" t="s">
        <v>44</v>
      </c>
      <c r="G62" s="1" t="s">
        <v>45</v>
      </c>
      <c r="H62" s="1">
        <v>8</v>
      </c>
      <c r="I62" s="1">
        <v>64</v>
      </c>
      <c r="J62" s="1">
        <v>64</v>
      </c>
      <c r="K62" s="1">
        <v>100</v>
      </c>
      <c r="L62" s="1">
        <v>28</v>
      </c>
      <c r="M62" s="1">
        <v>43.75</v>
      </c>
      <c r="N62" s="1">
        <v>28</v>
      </c>
      <c r="O62" s="1">
        <v>43.75</v>
      </c>
      <c r="P62" s="1">
        <v>1.95957142857143</v>
      </c>
      <c r="Q62" s="1">
        <f t="shared" si="1"/>
        <v>54.868</v>
      </c>
      <c r="R62" s="1">
        <v>1.5125</v>
      </c>
      <c r="S62" s="1">
        <v>-5.452</v>
      </c>
      <c r="T62" s="1">
        <v>12.021</v>
      </c>
      <c r="U62" s="1">
        <v>70.5998214285714</v>
      </c>
      <c r="V62" s="1">
        <v>93.1725</v>
      </c>
      <c r="W62" s="1">
        <v>28.9586428571429</v>
      </c>
      <c r="X62" s="1">
        <v>17.397</v>
      </c>
      <c r="Y62" s="1">
        <v>0.465886313782927</v>
      </c>
      <c r="Z62" s="1">
        <v>0.480728002816791</v>
      </c>
      <c r="AA62" s="1">
        <v>0.7296875</v>
      </c>
      <c r="AB62" s="1">
        <v>0.74</v>
      </c>
      <c r="AC62" s="1">
        <v>0.248729386402843</v>
      </c>
      <c r="AD62" s="1">
        <v>0.247847592812359</v>
      </c>
      <c r="AE62" s="1">
        <v>0.772595135690149</v>
      </c>
      <c r="AF62" s="1">
        <v>0.812894580379637</v>
      </c>
      <c r="AG62" s="1">
        <v>0.810978993332548</v>
      </c>
      <c r="AH62" s="1">
        <v>0.825205361374082</v>
      </c>
      <c r="AI62" s="1">
        <v>0.829541788917776</v>
      </c>
      <c r="AJ62" s="1" t="s">
        <v>46</v>
      </c>
      <c r="AK62" s="1">
        <v>0.815547871197844</v>
      </c>
      <c r="AL62" s="1">
        <v>0.827155604838876</v>
      </c>
      <c r="AM62" s="1">
        <v>0.512671764756334</v>
      </c>
      <c r="AN62" s="1">
        <v>0.697055853128934</v>
      </c>
      <c r="AO62" s="1">
        <v>61</v>
      </c>
    </row>
    <row r="63" s="1" customFormat="1" spans="1:41">
      <c r="A63" s="1" t="s">
        <v>261</v>
      </c>
      <c r="B63" s="1" t="s">
        <v>262</v>
      </c>
      <c r="C63" s="1">
        <v>741.350564</v>
      </c>
      <c r="D63" s="1" t="s">
        <v>263</v>
      </c>
      <c r="E63" s="1" t="s">
        <v>264</v>
      </c>
      <c r="F63" s="1" t="s">
        <v>44</v>
      </c>
      <c r="G63" s="1" t="s">
        <v>45</v>
      </c>
      <c r="H63" s="1">
        <v>8</v>
      </c>
      <c r="I63" s="1">
        <v>64</v>
      </c>
      <c r="J63" s="1">
        <v>59</v>
      </c>
      <c r="K63" s="1">
        <v>92.1875</v>
      </c>
      <c r="L63" s="1">
        <v>41</v>
      </c>
      <c r="M63" s="1">
        <v>64.0625</v>
      </c>
      <c r="N63" s="1">
        <v>41</v>
      </c>
      <c r="O63" s="1">
        <v>64.0625</v>
      </c>
      <c r="P63" s="1">
        <v>-7.8779756097561</v>
      </c>
      <c r="Q63" s="1">
        <f t="shared" si="1"/>
        <v>-322.997</v>
      </c>
      <c r="R63" s="1">
        <v>-7.834</v>
      </c>
      <c r="S63" s="1">
        <v>-11.091</v>
      </c>
      <c r="T63" s="1">
        <v>-4.924</v>
      </c>
      <c r="U63" s="1">
        <v>-5.98390243902439</v>
      </c>
      <c r="V63" s="1">
        <v>-6.069</v>
      </c>
      <c r="W63" s="1">
        <v>-6.4629756097561</v>
      </c>
      <c r="X63" s="1">
        <v>-6.317</v>
      </c>
      <c r="Y63" s="1">
        <v>0.420890712689345</v>
      </c>
      <c r="Z63" s="1">
        <v>0.423633500780926</v>
      </c>
      <c r="AA63" s="1">
        <v>0.601694915254237</v>
      </c>
      <c r="AB63" s="1">
        <v>0.56</v>
      </c>
      <c r="AC63" s="1">
        <v>0.219124899493348</v>
      </c>
      <c r="AD63" s="1">
        <v>0.24190614713048</v>
      </c>
      <c r="AE63" s="1">
        <v>0.750983424919975</v>
      </c>
      <c r="AF63" s="1">
        <v>0.805572334651623</v>
      </c>
      <c r="AG63" s="1">
        <v>0.800475586006431</v>
      </c>
      <c r="AH63" s="1">
        <v>0.805896932632822</v>
      </c>
      <c r="AI63" s="1">
        <v>0.822586816008711</v>
      </c>
      <c r="AJ63" s="1">
        <v>0.826611285785611</v>
      </c>
      <c r="AK63" s="1">
        <v>0.810553982186382</v>
      </c>
      <c r="AL63" s="1">
        <v>0.809593791953709</v>
      </c>
      <c r="AM63" s="1">
        <v>0.306173100765984</v>
      </c>
      <c r="AN63" s="1">
        <v>0.63300057561453</v>
      </c>
      <c r="AO63" s="1">
        <v>62</v>
      </c>
    </row>
    <row r="64" s="1" customFormat="1" spans="1:41">
      <c r="A64" s="1" t="s">
        <v>265</v>
      </c>
      <c r="B64" s="1" t="s">
        <v>266</v>
      </c>
      <c r="C64" s="1">
        <v>885.760201</v>
      </c>
      <c r="D64" s="1" t="s">
        <v>267</v>
      </c>
      <c r="E64" s="1" t="s">
        <v>268</v>
      </c>
      <c r="F64" s="1" t="s">
        <v>44</v>
      </c>
      <c r="G64" s="1" t="s">
        <v>45</v>
      </c>
      <c r="H64" s="1">
        <v>8</v>
      </c>
      <c r="I64" s="1">
        <v>64</v>
      </c>
      <c r="J64" s="1">
        <v>64</v>
      </c>
      <c r="K64" s="1">
        <v>100</v>
      </c>
      <c r="L64" s="1">
        <v>45</v>
      </c>
      <c r="M64" s="1">
        <v>70.3125</v>
      </c>
      <c r="N64" s="1">
        <v>45</v>
      </c>
      <c r="O64" s="1">
        <v>70.3125</v>
      </c>
      <c r="P64" s="1">
        <v>-6.01771111111111</v>
      </c>
      <c r="Q64" s="1">
        <f t="shared" si="1"/>
        <v>-270.797</v>
      </c>
      <c r="R64" s="1">
        <v>-6.042</v>
      </c>
      <c r="S64" s="1">
        <v>-8.374</v>
      </c>
      <c r="T64" s="1">
        <v>-3.52</v>
      </c>
      <c r="U64" s="1">
        <v>-2.78224444444444</v>
      </c>
      <c r="V64" s="1">
        <v>-2.927</v>
      </c>
      <c r="W64" s="1">
        <v>-3.5612</v>
      </c>
      <c r="X64" s="1">
        <v>-3.463</v>
      </c>
      <c r="Y64" s="1">
        <v>0.349908905226395</v>
      </c>
      <c r="Z64" s="1">
        <v>0.302915146994711</v>
      </c>
      <c r="AA64" s="1">
        <v>0.59609375</v>
      </c>
      <c r="AB64" s="1">
        <v>0.605</v>
      </c>
      <c r="AC64" s="1">
        <v>0.19960864052118</v>
      </c>
      <c r="AD64" s="1">
        <v>0.173739422788256</v>
      </c>
      <c r="AE64" s="1">
        <v>0.760062820096446</v>
      </c>
      <c r="AF64" s="1">
        <v>0.804137953774828</v>
      </c>
      <c r="AG64" s="1">
        <v>0.832330073726097</v>
      </c>
      <c r="AH64" s="1">
        <v>0.7970222580803</v>
      </c>
      <c r="AI64" s="1">
        <v>0.811688246210123</v>
      </c>
      <c r="AJ64" s="1">
        <v>0.817540416573857</v>
      </c>
      <c r="AK64" s="1">
        <v>0.810504330699256</v>
      </c>
      <c r="AL64" s="1">
        <v>0.808971420536577</v>
      </c>
      <c r="AM64" s="1">
        <v>0.322129224130841</v>
      </c>
      <c r="AN64" s="1">
        <v>0.644308812383305</v>
      </c>
      <c r="AO64" s="1">
        <v>63</v>
      </c>
    </row>
    <row r="65" s="1" customFormat="1" spans="1:41">
      <c r="A65" s="1" t="s">
        <v>269</v>
      </c>
      <c r="B65" s="1" t="s">
        <v>270</v>
      </c>
      <c r="C65" s="1">
        <v>821.089162</v>
      </c>
      <c r="D65" s="1" t="s">
        <v>271</v>
      </c>
      <c r="E65" s="1" t="s">
        <v>272</v>
      </c>
      <c r="F65" s="1" t="s">
        <v>44</v>
      </c>
      <c r="G65" s="1" t="s">
        <v>45</v>
      </c>
      <c r="H65" s="1">
        <v>8</v>
      </c>
      <c r="I65" s="1">
        <v>64</v>
      </c>
      <c r="J65" s="1">
        <v>63</v>
      </c>
      <c r="K65" s="1">
        <v>98.4375</v>
      </c>
      <c r="L65" s="1">
        <v>52</v>
      </c>
      <c r="M65" s="1">
        <v>81.25</v>
      </c>
      <c r="N65" s="1">
        <v>52</v>
      </c>
      <c r="O65" s="1">
        <v>81.25</v>
      </c>
      <c r="P65" s="1">
        <v>-6.75219230769231</v>
      </c>
      <c r="Q65" s="1">
        <f t="shared" si="1"/>
        <v>-351.114</v>
      </c>
      <c r="R65" s="1">
        <v>-6.524</v>
      </c>
      <c r="S65" s="1">
        <v>-9.966</v>
      </c>
      <c r="T65" s="1">
        <v>-5.212</v>
      </c>
      <c r="U65" s="1">
        <v>-4.70588461538462</v>
      </c>
      <c r="V65" s="1">
        <v>-4.7335</v>
      </c>
      <c r="W65" s="1">
        <v>-5.35659615384615</v>
      </c>
      <c r="X65" s="1">
        <v>-5.175</v>
      </c>
      <c r="Y65" s="1">
        <v>0.382382499683945</v>
      </c>
      <c r="Z65" s="1">
        <v>0.396402028072482</v>
      </c>
      <c r="AA65" s="1">
        <v>0.652539682539682</v>
      </c>
      <c r="AB65" s="1">
        <v>0.66</v>
      </c>
      <c r="AC65" s="1">
        <v>0.17661618507616</v>
      </c>
      <c r="AD65" s="1">
        <v>0.168512809318286</v>
      </c>
      <c r="AE65" s="1">
        <v>0.760096746851791</v>
      </c>
      <c r="AF65" s="1">
        <v>0.810474905069773</v>
      </c>
      <c r="AG65" s="1">
        <v>0.803666915634585</v>
      </c>
      <c r="AH65" s="1">
        <v>0.802565264266923</v>
      </c>
      <c r="AI65" s="1">
        <v>0.809217787189975</v>
      </c>
      <c r="AJ65" s="1">
        <v>0.784554405006857</v>
      </c>
      <c r="AK65" s="1">
        <v>0.81111888700821</v>
      </c>
      <c r="AL65" s="1">
        <v>0.810932449014996</v>
      </c>
      <c r="AM65" s="1">
        <v>0.381807262079865</v>
      </c>
      <c r="AN65" s="1">
        <v>0.655738248797099</v>
      </c>
      <c r="AO65" s="1">
        <v>64</v>
      </c>
    </row>
    <row r="66" s="1" customFormat="1" spans="1:41">
      <c r="A66" s="1" t="s">
        <v>273</v>
      </c>
      <c r="B66" s="1" t="s">
        <v>274</v>
      </c>
      <c r="C66" s="1">
        <v>810.376692</v>
      </c>
      <c r="D66" s="1" t="s">
        <v>275</v>
      </c>
      <c r="E66" s="1" t="s">
        <v>276</v>
      </c>
      <c r="F66" s="1" t="s">
        <v>44</v>
      </c>
      <c r="G66" s="1" t="s">
        <v>45</v>
      </c>
      <c r="H66" s="1">
        <v>8</v>
      </c>
      <c r="I66" s="1">
        <v>64</v>
      </c>
      <c r="J66" s="1">
        <v>64</v>
      </c>
      <c r="K66" s="1">
        <v>100</v>
      </c>
      <c r="L66" s="1">
        <v>47</v>
      </c>
      <c r="M66" s="1">
        <v>73.4375</v>
      </c>
      <c r="N66" s="1">
        <v>47</v>
      </c>
      <c r="O66" s="1">
        <v>73.4375</v>
      </c>
      <c r="P66" s="1">
        <v>-6.01706382978723</v>
      </c>
      <c r="Q66" s="1">
        <f t="shared" si="1"/>
        <v>-282.802</v>
      </c>
      <c r="R66" s="1">
        <v>-5.518</v>
      </c>
      <c r="S66" s="1">
        <v>-13.903</v>
      </c>
      <c r="T66" s="1">
        <v>-4.282</v>
      </c>
      <c r="U66" s="1">
        <v>-2.64306382978723</v>
      </c>
      <c r="V66" s="1">
        <v>-3.442</v>
      </c>
      <c r="W66" s="1">
        <v>-3.24936170212766</v>
      </c>
      <c r="X66" s="1">
        <v>-3.735</v>
      </c>
      <c r="Y66" s="1">
        <v>0.419417840864389</v>
      </c>
      <c r="Z66" s="1">
        <v>0.408208474193784</v>
      </c>
      <c r="AA66" s="1">
        <v>0.70875</v>
      </c>
      <c r="AB66" s="1">
        <v>0.725</v>
      </c>
      <c r="AC66" s="1">
        <v>0.22328290531984</v>
      </c>
      <c r="AD66" s="1">
        <v>0.24346524821537</v>
      </c>
      <c r="AE66" s="1">
        <v>0.768941399107709</v>
      </c>
      <c r="AF66" s="1">
        <v>0.808385226804223</v>
      </c>
      <c r="AG66" s="1">
        <v>0.818130668359218</v>
      </c>
      <c r="AH66" s="1">
        <v>0.805045547291344</v>
      </c>
      <c r="AI66" s="1">
        <v>0.815864757333836</v>
      </c>
      <c r="AJ66" s="1">
        <v>0.820014334133198</v>
      </c>
      <c r="AK66" s="1">
        <v>0.798150714644469</v>
      </c>
      <c r="AL66" s="1">
        <v>0.815157421856503</v>
      </c>
      <c r="AM66" s="1">
        <v>0.392246995696809</v>
      </c>
      <c r="AN66" s="1">
        <v>0.681663183836319</v>
      </c>
      <c r="AO66" s="1">
        <v>65</v>
      </c>
    </row>
    <row r="67" s="1" customFormat="1" spans="1:41">
      <c r="A67" s="1" t="s">
        <v>277</v>
      </c>
      <c r="B67" s="1" t="s">
        <v>278</v>
      </c>
      <c r="C67" s="1">
        <v>408.793531</v>
      </c>
      <c r="D67" s="1" t="s">
        <v>279</v>
      </c>
      <c r="E67" s="1" t="s">
        <v>280</v>
      </c>
      <c r="F67" s="1" t="s">
        <v>44</v>
      </c>
      <c r="G67" s="1" t="s">
        <v>45</v>
      </c>
      <c r="H67" s="1">
        <v>8</v>
      </c>
      <c r="I67" s="1">
        <v>64</v>
      </c>
      <c r="J67" s="1">
        <v>63</v>
      </c>
      <c r="K67" s="1">
        <v>98.4375</v>
      </c>
      <c r="L67" s="1">
        <v>50</v>
      </c>
      <c r="M67" s="1">
        <v>78.125</v>
      </c>
      <c r="N67" s="1">
        <v>50</v>
      </c>
      <c r="O67" s="1">
        <v>78.125</v>
      </c>
      <c r="P67" s="1">
        <v>-5.55076</v>
      </c>
      <c r="Q67" s="1">
        <f t="shared" ref="Q67:Q98" si="2">PRODUCT(N67,P67)</f>
        <v>-277.538</v>
      </c>
      <c r="R67" s="1">
        <v>-5.3615</v>
      </c>
      <c r="S67" s="1">
        <v>-8.658</v>
      </c>
      <c r="T67" s="1">
        <v>-4.858</v>
      </c>
      <c r="U67" s="1">
        <v>-3.7835</v>
      </c>
      <c r="V67" s="1">
        <v>-3.7065</v>
      </c>
      <c r="W67" s="1">
        <v>-4.30254</v>
      </c>
      <c r="X67" s="1">
        <v>-4.204</v>
      </c>
      <c r="Y67" s="1">
        <v>0.476954432258047</v>
      </c>
      <c r="Z67" s="1">
        <v>0.482917925934013</v>
      </c>
      <c r="AA67" s="1">
        <v>0.778095238095238</v>
      </c>
      <c r="AB67" s="1">
        <v>0.81</v>
      </c>
      <c r="AC67" s="1">
        <v>0.261426150318587</v>
      </c>
      <c r="AD67" s="1">
        <v>0.272510724977181</v>
      </c>
      <c r="AE67" s="1">
        <v>0.787479181665331</v>
      </c>
      <c r="AF67" s="1">
        <v>0.813183008343853</v>
      </c>
      <c r="AG67" s="1" t="s">
        <v>46</v>
      </c>
      <c r="AH67" s="1">
        <v>0.807691786978676</v>
      </c>
      <c r="AI67" s="1">
        <v>0.828336111092343</v>
      </c>
      <c r="AJ67" s="1" t="s">
        <v>46</v>
      </c>
      <c r="AK67" s="1">
        <v>0.809742752894115</v>
      </c>
      <c r="AL67" s="1">
        <v>0.814962175246772</v>
      </c>
      <c r="AM67" s="1">
        <v>0.521367039224803</v>
      </c>
      <c r="AN67" s="1">
        <v>0.712553665314098</v>
      </c>
      <c r="AO67" s="1">
        <v>66</v>
      </c>
    </row>
    <row r="68" s="1" customFormat="1" spans="1:41">
      <c r="A68" s="1" t="s">
        <v>281</v>
      </c>
      <c r="B68" s="1" t="s">
        <v>282</v>
      </c>
      <c r="C68" s="1">
        <v>1044.213064</v>
      </c>
      <c r="D68" s="1" t="s">
        <v>283</v>
      </c>
      <c r="E68" s="1" t="s">
        <v>284</v>
      </c>
      <c r="F68" s="1" t="s">
        <v>44</v>
      </c>
      <c r="G68" s="1" t="s">
        <v>45</v>
      </c>
      <c r="H68" s="1">
        <v>8</v>
      </c>
      <c r="I68" s="1">
        <v>64</v>
      </c>
      <c r="J68" s="1">
        <v>64</v>
      </c>
      <c r="K68" s="1">
        <v>100</v>
      </c>
      <c r="L68" s="1">
        <v>43</v>
      </c>
      <c r="M68" s="1">
        <v>67.1875</v>
      </c>
      <c r="N68" s="1">
        <v>43</v>
      </c>
      <c r="O68" s="1">
        <v>67.1875</v>
      </c>
      <c r="P68" s="1">
        <v>-7.04418604651163</v>
      </c>
      <c r="Q68" s="1">
        <f t="shared" si="2"/>
        <v>-302.9</v>
      </c>
      <c r="R68" s="1">
        <v>-7.098</v>
      </c>
      <c r="S68" s="1">
        <v>-8.511</v>
      </c>
      <c r="T68" s="1">
        <v>-4.775</v>
      </c>
      <c r="U68" s="1">
        <v>-4.19476744186047</v>
      </c>
      <c r="V68" s="1">
        <v>-4.302</v>
      </c>
      <c r="W68" s="1">
        <v>-4.67293023255814</v>
      </c>
      <c r="X68" s="1">
        <v>-4.554</v>
      </c>
      <c r="Y68" s="1">
        <v>0.273156178795042</v>
      </c>
      <c r="Z68" s="1">
        <v>0.257025505633332</v>
      </c>
      <c r="AA68" s="1">
        <v>0.5915625</v>
      </c>
      <c r="AB68" s="1">
        <v>0.58</v>
      </c>
      <c r="AC68" s="1">
        <v>0.218427988077657</v>
      </c>
      <c r="AD68" s="1">
        <v>0.19797984827041</v>
      </c>
      <c r="AE68" s="1">
        <v>0.767199102747533</v>
      </c>
      <c r="AF68" s="1">
        <v>0.802651674672287</v>
      </c>
      <c r="AG68" s="1" t="s">
        <v>46</v>
      </c>
      <c r="AH68" s="1">
        <v>0.80799365316945</v>
      </c>
      <c r="AI68" s="1">
        <v>0.824827878443377</v>
      </c>
      <c r="AJ68" s="1" t="s">
        <v>46</v>
      </c>
      <c r="AK68" s="1">
        <v>0.815841730676767</v>
      </c>
      <c r="AL68" s="1">
        <v>0.809794222467875</v>
      </c>
      <c r="AM68" s="1">
        <v>0.313980493377014</v>
      </c>
      <c r="AN68" s="1">
        <v>0.651770529967651</v>
      </c>
      <c r="AO68" s="1">
        <v>67</v>
      </c>
    </row>
    <row r="69" s="1" customFormat="1" spans="1:41">
      <c r="A69" s="1" t="s">
        <v>285</v>
      </c>
      <c r="B69" s="1" t="s">
        <v>286</v>
      </c>
      <c r="C69" s="1">
        <v>1375.89072</v>
      </c>
      <c r="D69" s="1" t="s">
        <v>287</v>
      </c>
      <c r="E69" s="1" t="s">
        <v>288</v>
      </c>
      <c r="F69" s="1" t="s">
        <v>44</v>
      </c>
      <c r="G69" s="1" t="s">
        <v>45</v>
      </c>
      <c r="H69" s="1">
        <v>8</v>
      </c>
      <c r="I69" s="1">
        <v>64</v>
      </c>
      <c r="J69" s="1">
        <v>62</v>
      </c>
      <c r="K69" s="1">
        <v>96.875</v>
      </c>
      <c r="L69" s="1">
        <v>34</v>
      </c>
      <c r="M69" s="1">
        <v>53.125</v>
      </c>
      <c r="N69" s="1">
        <v>34</v>
      </c>
      <c r="O69" s="1">
        <v>53.125</v>
      </c>
      <c r="P69" s="1">
        <v>-9.23314705882353</v>
      </c>
      <c r="Q69" s="1">
        <f t="shared" si="2"/>
        <v>-313.927</v>
      </c>
      <c r="R69" s="1">
        <v>-9.2275</v>
      </c>
      <c r="S69" s="1">
        <v>-11.558</v>
      </c>
      <c r="T69" s="1">
        <v>-7.455</v>
      </c>
      <c r="U69" s="1">
        <v>-7.5125</v>
      </c>
      <c r="V69" s="1">
        <v>-7.32</v>
      </c>
      <c r="W69" s="1">
        <v>-7.74594117647059</v>
      </c>
      <c r="X69" s="1">
        <v>-7.8345</v>
      </c>
      <c r="Y69" s="1">
        <v>0.280026237140796</v>
      </c>
      <c r="Z69" s="1">
        <v>0.25146436010553</v>
      </c>
      <c r="AA69" s="1">
        <v>0.559516129032258</v>
      </c>
      <c r="AB69" s="1">
        <v>0.56</v>
      </c>
      <c r="AC69" s="1">
        <v>0.183688679661403</v>
      </c>
      <c r="AD69" s="1">
        <v>0.17177002313446</v>
      </c>
      <c r="AE69" s="1">
        <v>0.725015468423704</v>
      </c>
      <c r="AF69" s="1">
        <v>0.803416179462859</v>
      </c>
      <c r="AG69" s="1">
        <v>0.779405486678547</v>
      </c>
      <c r="AH69" s="1">
        <v>0.785814922502859</v>
      </c>
      <c r="AI69" s="1">
        <v>0.81388298666594</v>
      </c>
      <c r="AJ69" s="1">
        <v>0.819475479930811</v>
      </c>
      <c r="AK69" s="1">
        <v>0.799551486034803</v>
      </c>
      <c r="AL69" s="1">
        <v>0.793442435050373</v>
      </c>
      <c r="AM69" s="1">
        <v>0.259134180344539</v>
      </c>
      <c r="AN69" s="1">
        <v>0.598931911133335</v>
      </c>
      <c r="AO69" s="1">
        <v>68</v>
      </c>
    </row>
    <row r="70" s="1" customFormat="1" spans="1:41">
      <c r="A70" s="1" t="s">
        <v>289</v>
      </c>
      <c r="B70" s="1" t="s">
        <v>290</v>
      </c>
      <c r="C70" s="1">
        <v>331.364618</v>
      </c>
      <c r="D70" s="1" t="s">
        <v>291</v>
      </c>
      <c r="E70" s="1" t="s">
        <v>292</v>
      </c>
      <c r="F70" s="1" t="s">
        <v>44</v>
      </c>
      <c r="G70" s="1" t="s">
        <v>45</v>
      </c>
      <c r="H70" s="1">
        <v>8</v>
      </c>
      <c r="I70" s="1">
        <v>64</v>
      </c>
      <c r="J70" s="1">
        <v>64</v>
      </c>
      <c r="K70" s="1">
        <v>100</v>
      </c>
      <c r="L70" s="1">
        <v>50</v>
      </c>
      <c r="M70" s="1">
        <v>78.125</v>
      </c>
      <c r="N70" s="1">
        <v>50</v>
      </c>
      <c r="O70" s="1">
        <v>78.125</v>
      </c>
      <c r="P70" s="1">
        <v>-5.51078</v>
      </c>
      <c r="Q70" s="1">
        <f t="shared" si="2"/>
        <v>-275.539</v>
      </c>
      <c r="R70" s="1">
        <v>-5.2115</v>
      </c>
      <c r="S70" s="1">
        <v>-8.933</v>
      </c>
      <c r="T70" s="1">
        <v>-4.106</v>
      </c>
      <c r="U70" s="1">
        <v>-3.40408</v>
      </c>
      <c r="V70" s="1">
        <v>-3.3585</v>
      </c>
      <c r="W70" s="1">
        <v>-3.87858</v>
      </c>
      <c r="X70" s="1">
        <v>-3.844</v>
      </c>
      <c r="Y70" s="1">
        <v>0.462028885786532</v>
      </c>
      <c r="Z70" s="1">
        <v>0.468698962310419</v>
      </c>
      <c r="AA70" s="1">
        <v>0.62609375</v>
      </c>
      <c r="AB70" s="1">
        <v>0.62</v>
      </c>
      <c r="AC70" s="1">
        <v>0.252736333569408</v>
      </c>
      <c r="AD70" s="1">
        <v>0.258545860813895</v>
      </c>
      <c r="AE70" s="1">
        <v>0.789733129914347</v>
      </c>
      <c r="AF70" s="1">
        <v>0.805896632240044</v>
      </c>
      <c r="AG70" s="1">
        <v>0.79994553842901</v>
      </c>
      <c r="AH70" s="1">
        <v>0.804997135601216</v>
      </c>
      <c r="AI70" s="1">
        <v>0.830633547320245</v>
      </c>
      <c r="AJ70" s="1" t="s">
        <v>46</v>
      </c>
      <c r="AK70" s="1">
        <v>0.804646247604253</v>
      </c>
      <c r="AL70" s="1">
        <v>0.812064220472038</v>
      </c>
      <c r="AM70" s="1">
        <v>0.519073834242642</v>
      </c>
      <c r="AN70" s="1">
        <v>0.692947730288854</v>
      </c>
      <c r="AO70" s="1">
        <v>69</v>
      </c>
    </row>
    <row r="71" s="1" customFormat="1" spans="1:41">
      <c r="A71" s="1" t="s">
        <v>293</v>
      </c>
      <c r="B71" s="1" t="s">
        <v>294</v>
      </c>
      <c r="C71" s="1">
        <v>1417.33315</v>
      </c>
      <c r="D71" s="1" t="s">
        <v>295</v>
      </c>
      <c r="E71" s="1" t="s">
        <v>296</v>
      </c>
      <c r="F71" s="1" t="s">
        <v>44</v>
      </c>
      <c r="G71" s="1" t="s">
        <v>45</v>
      </c>
      <c r="H71" s="1">
        <v>8</v>
      </c>
      <c r="I71" s="1">
        <v>64</v>
      </c>
      <c r="J71" s="1">
        <v>64</v>
      </c>
      <c r="K71" s="1">
        <v>100</v>
      </c>
      <c r="L71" s="1">
        <v>28</v>
      </c>
      <c r="M71" s="1">
        <v>43.75</v>
      </c>
      <c r="N71" s="1">
        <v>28</v>
      </c>
      <c r="O71" s="1">
        <v>43.75</v>
      </c>
      <c r="P71" s="1">
        <v>-13.2951785714286</v>
      </c>
      <c r="Q71" s="1">
        <f t="shared" si="2"/>
        <v>-372.265000000001</v>
      </c>
      <c r="R71" s="1">
        <v>-13.0925</v>
      </c>
      <c r="S71" s="1">
        <v>-17.521</v>
      </c>
      <c r="T71" s="1">
        <v>-10.321</v>
      </c>
      <c r="U71" s="1">
        <v>-7.61271428571429</v>
      </c>
      <c r="V71" s="1">
        <v>-10.7965</v>
      </c>
      <c r="W71" s="1">
        <v>-11.5295</v>
      </c>
      <c r="X71" s="1">
        <v>-11.3115</v>
      </c>
      <c r="Y71" s="1">
        <v>0.1687978485901</v>
      </c>
      <c r="Z71" s="1">
        <v>0.139786403944767</v>
      </c>
      <c r="AA71" s="1">
        <v>0.515079365079365</v>
      </c>
      <c r="AB71" s="1">
        <v>0.5</v>
      </c>
      <c r="AC71" s="1">
        <v>0.243611843156105</v>
      </c>
      <c r="AD71" s="1">
        <v>0.237602312327198</v>
      </c>
      <c r="AE71" s="1">
        <v>0.70903862019062</v>
      </c>
      <c r="AF71" s="1">
        <v>0.777675397567695</v>
      </c>
      <c r="AG71" s="1">
        <v>0.705727605174971</v>
      </c>
      <c r="AH71" s="1">
        <v>0.780602907413623</v>
      </c>
      <c r="AI71" s="1">
        <v>0.816709636112675</v>
      </c>
      <c r="AJ71" s="1" t="s">
        <v>46</v>
      </c>
      <c r="AK71" s="1">
        <v>0.802366264938985</v>
      </c>
      <c r="AL71" s="1">
        <v>0.799193929614711</v>
      </c>
      <c r="AM71" s="1">
        <v>0.255333966887983</v>
      </c>
      <c r="AN71" s="1">
        <v>0.559143847024395</v>
      </c>
      <c r="AO71" s="1">
        <v>70</v>
      </c>
    </row>
    <row r="72" s="1" customFormat="1" spans="1:41">
      <c r="A72" s="1" t="s">
        <v>297</v>
      </c>
      <c r="B72" s="1" t="s">
        <v>298</v>
      </c>
      <c r="C72" s="1">
        <v>379.495648</v>
      </c>
      <c r="D72" s="1" t="s">
        <v>299</v>
      </c>
      <c r="E72" s="1" t="s">
        <v>300</v>
      </c>
      <c r="F72" s="1" t="s">
        <v>44</v>
      </c>
      <c r="G72" s="1" t="s">
        <v>45</v>
      </c>
      <c r="H72" s="1">
        <v>8</v>
      </c>
      <c r="I72" s="1">
        <v>64</v>
      </c>
      <c r="J72" s="1">
        <v>63</v>
      </c>
      <c r="K72" s="1">
        <v>98.4375</v>
      </c>
      <c r="L72" s="1">
        <v>52</v>
      </c>
      <c r="M72" s="1">
        <v>81.25</v>
      </c>
      <c r="N72" s="1">
        <v>52</v>
      </c>
      <c r="O72" s="1">
        <v>81.25</v>
      </c>
      <c r="P72" s="1">
        <v>-4.32784615384615</v>
      </c>
      <c r="Q72" s="1">
        <f t="shared" si="2"/>
        <v>-225.048</v>
      </c>
      <c r="R72" s="1">
        <v>-4.2215</v>
      </c>
      <c r="S72" s="1">
        <v>-6.806</v>
      </c>
      <c r="T72" s="1">
        <v>-3.202</v>
      </c>
      <c r="U72" s="1">
        <v>-1.78569230769231</v>
      </c>
      <c r="V72" s="1">
        <v>-1.6625</v>
      </c>
      <c r="W72" s="1">
        <v>-2.53623076923077</v>
      </c>
      <c r="X72" s="1">
        <v>-2.4685</v>
      </c>
      <c r="Y72" s="1">
        <v>0.473793758416801</v>
      </c>
      <c r="Z72" s="1">
        <v>0.490864894659696</v>
      </c>
      <c r="AA72" s="1">
        <v>0.714761904761905</v>
      </c>
      <c r="AB72" s="1">
        <v>0.72</v>
      </c>
      <c r="AC72" s="1">
        <v>0.261691020259401</v>
      </c>
      <c r="AD72" s="1">
        <v>0.261363774949059</v>
      </c>
      <c r="AE72" s="1">
        <v>0.783276970034809</v>
      </c>
      <c r="AF72" s="1">
        <v>0.812451073164637</v>
      </c>
      <c r="AG72" s="1">
        <v>0.793051111813359</v>
      </c>
      <c r="AH72" s="1">
        <v>0.822886975279249</v>
      </c>
      <c r="AI72" s="1">
        <v>0.823776546507475</v>
      </c>
      <c r="AJ72" s="1" t="s">
        <v>46</v>
      </c>
      <c r="AK72" s="1">
        <v>0.809428311959181</v>
      </c>
      <c r="AL72" s="1">
        <v>0.809738295873883</v>
      </c>
      <c r="AM72" s="1">
        <v>0.517149664977944</v>
      </c>
      <c r="AN72" s="1">
        <v>0.692676023348176</v>
      </c>
      <c r="AO72" s="1">
        <v>71</v>
      </c>
    </row>
    <row r="73" s="1" customFormat="1" spans="1:41">
      <c r="A73" s="1" t="s">
        <v>301</v>
      </c>
      <c r="B73" s="1" t="s">
        <v>302</v>
      </c>
      <c r="C73" s="1">
        <v>1613.222394</v>
      </c>
      <c r="D73" s="1" t="s">
        <v>303</v>
      </c>
      <c r="E73" s="1" t="s">
        <v>304</v>
      </c>
      <c r="F73" s="1" t="s">
        <v>44</v>
      </c>
      <c r="G73" s="1" t="s">
        <v>45</v>
      </c>
      <c r="H73" s="1">
        <v>8</v>
      </c>
      <c r="I73" s="1">
        <v>64</v>
      </c>
      <c r="J73" s="1">
        <v>62</v>
      </c>
      <c r="K73" s="1">
        <v>96.875</v>
      </c>
      <c r="L73" s="1">
        <v>29</v>
      </c>
      <c r="M73" s="1">
        <v>45.3125</v>
      </c>
      <c r="N73" s="1">
        <v>29</v>
      </c>
      <c r="O73" s="1">
        <v>45.3125</v>
      </c>
      <c r="P73" s="1">
        <v>-13.2497931034483</v>
      </c>
      <c r="Q73" s="1">
        <f t="shared" si="2"/>
        <v>-384.244000000001</v>
      </c>
      <c r="R73" s="1">
        <v>-13.131</v>
      </c>
      <c r="S73" s="1">
        <v>-17.295</v>
      </c>
      <c r="T73" s="1">
        <v>-9.315</v>
      </c>
      <c r="U73" s="1">
        <v>-12.6506206896552</v>
      </c>
      <c r="V73" s="1">
        <v>-12.421</v>
      </c>
      <c r="W73" s="1">
        <v>-12.6872413793103</v>
      </c>
      <c r="X73" s="1">
        <v>-12.493</v>
      </c>
      <c r="Y73" s="1">
        <v>0.202611431729325</v>
      </c>
      <c r="Z73" s="1">
        <v>0.175370967096042</v>
      </c>
      <c r="AA73" s="1">
        <v>0.471290322580645</v>
      </c>
      <c r="AB73" s="1">
        <v>0.46</v>
      </c>
      <c r="AC73" s="1">
        <v>0.244595693960028</v>
      </c>
      <c r="AD73" s="1">
        <v>0.2316858976515</v>
      </c>
      <c r="AE73" s="1">
        <v>0.708490649584982</v>
      </c>
      <c r="AF73" s="1">
        <v>0.788900458884669</v>
      </c>
      <c r="AG73" s="1">
        <v>0.788675682163056</v>
      </c>
      <c r="AH73" s="1">
        <v>0.776625571258514</v>
      </c>
      <c r="AI73" s="1">
        <v>0.798195432663727</v>
      </c>
      <c r="AJ73" s="1">
        <v>0.785614792476537</v>
      </c>
      <c r="AK73" s="1">
        <v>0.791593822194043</v>
      </c>
      <c r="AL73" s="1">
        <v>0.79757678013586</v>
      </c>
      <c r="AM73" s="1">
        <v>0.251536435675075</v>
      </c>
      <c r="AN73" s="1">
        <v>0.589115981663984</v>
      </c>
      <c r="AO73" s="1">
        <v>72</v>
      </c>
    </row>
    <row r="74" s="1" customFormat="1" spans="1:41">
      <c r="A74" s="1" t="s">
        <v>305</v>
      </c>
      <c r="B74" s="1" t="s">
        <v>306</v>
      </c>
      <c r="C74" s="1">
        <v>775.82774</v>
      </c>
      <c r="D74" s="1" t="s">
        <v>307</v>
      </c>
      <c r="E74" s="1" t="s">
        <v>308</v>
      </c>
      <c r="F74" s="1" t="s">
        <v>44</v>
      </c>
      <c r="G74" s="1" t="s">
        <v>45</v>
      </c>
      <c r="H74" s="1">
        <v>8</v>
      </c>
      <c r="I74" s="1">
        <v>64</v>
      </c>
      <c r="J74" s="1">
        <v>64</v>
      </c>
      <c r="K74" s="1">
        <v>100</v>
      </c>
      <c r="L74" s="1">
        <v>33</v>
      </c>
      <c r="M74" s="1">
        <v>51.5625</v>
      </c>
      <c r="N74" s="1">
        <v>33</v>
      </c>
      <c r="O74" s="1">
        <v>51.5625</v>
      </c>
      <c r="P74" s="1">
        <v>-9.46824242424242</v>
      </c>
      <c r="Q74" s="1">
        <f t="shared" si="2"/>
        <v>-312.452</v>
      </c>
      <c r="R74" s="1">
        <v>-9.438</v>
      </c>
      <c r="S74" s="1">
        <v>-11.665</v>
      </c>
      <c r="T74" s="1">
        <v>-6.918</v>
      </c>
      <c r="U74" s="1">
        <v>-7.984</v>
      </c>
      <c r="V74" s="1">
        <v>-7.799</v>
      </c>
      <c r="W74" s="1">
        <v>-8.19187878787879</v>
      </c>
      <c r="X74" s="1">
        <v>-7.893</v>
      </c>
      <c r="Y74" s="1">
        <v>0.419979507070568</v>
      </c>
      <c r="Z74" s="1">
        <v>0.407060418166319</v>
      </c>
      <c r="AA74" s="1">
        <v>0.6403125</v>
      </c>
      <c r="AB74" s="1">
        <v>0.62</v>
      </c>
      <c r="AC74" s="1">
        <v>0.245463576576815</v>
      </c>
      <c r="AD74" s="1">
        <v>0.231691286312522</v>
      </c>
      <c r="AE74" s="1">
        <v>0.724540814053651</v>
      </c>
      <c r="AF74" s="1">
        <v>0.805259011477269</v>
      </c>
      <c r="AG74" s="1">
        <v>0.827800795086671</v>
      </c>
      <c r="AH74" s="1">
        <v>0.794904517866111</v>
      </c>
      <c r="AI74" s="1">
        <v>0.821797234676221</v>
      </c>
      <c r="AJ74" s="1">
        <v>0.791805940129183</v>
      </c>
      <c r="AK74" s="1">
        <v>0.804390745373174</v>
      </c>
      <c r="AL74" s="1">
        <v>0.801853005423046</v>
      </c>
      <c r="AM74" s="1">
        <v>0.297968437152745</v>
      </c>
      <c r="AN74" s="1">
        <v>0.606409332842823</v>
      </c>
      <c r="AO74" s="1">
        <v>73</v>
      </c>
    </row>
    <row r="75" s="1" customFormat="1" spans="1:41">
      <c r="A75" s="1" t="s">
        <v>309</v>
      </c>
      <c r="B75" s="1" t="s">
        <v>310</v>
      </c>
      <c r="C75" s="1">
        <v>799.610857</v>
      </c>
      <c r="D75" s="1" t="s">
        <v>311</v>
      </c>
      <c r="E75" s="1" t="s">
        <v>312</v>
      </c>
      <c r="F75" s="1" t="s">
        <v>44</v>
      </c>
      <c r="G75" s="1" t="s">
        <v>45</v>
      </c>
      <c r="H75" s="1">
        <v>8</v>
      </c>
      <c r="I75" s="1">
        <v>64</v>
      </c>
      <c r="J75" s="1">
        <v>63</v>
      </c>
      <c r="K75" s="1">
        <v>98.4375</v>
      </c>
      <c r="L75" s="1">
        <v>53</v>
      </c>
      <c r="M75" s="1">
        <v>82.8125</v>
      </c>
      <c r="N75" s="1">
        <v>53</v>
      </c>
      <c r="O75" s="1">
        <v>82.8125</v>
      </c>
      <c r="P75" s="1">
        <v>-8.7551320754717</v>
      </c>
      <c r="Q75" s="1">
        <f t="shared" si="2"/>
        <v>-464.022</v>
      </c>
      <c r="R75" s="1">
        <v>-8.847</v>
      </c>
      <c r="S75" s="1">
        <v>-12.657</v>
      </c>
      <c r="T75" s="1">
        <v>-4.983</v>
      </c>
      <c r="U75" s="1">
        <v>12.9188113207547</v>
      </c>
      <c r="V75" s="1">
        <v>-4.271</v>
      </c>
      <c r="W75" s="1">
        <v>-5.50992452830189</v>
      </c>
      <c r="X75" s="1">
        <v>-6.641</v>
      </c>
      <c r="Y75" s="1">
        <v>0.451923987145312</v>
      </c>
      <c r="Z75" s="1">
        <v>0.433441206279624</v>
      </c>
      <c r="AA75" s="1">
        <v>0.681269841269841</v>
      </c>
      <c r="AB75" s="1">
        <v>0.68</v>
      </c>
      <c r="AC75" s="1">
        <v>0.299661867164732</v>
      </c>
      <c r="AD75" s="1">
        <v>0.295897840134302</v>
      </c>
      <c r="AE75" s="1">
        <v>0.743232948501028</v>
      </c>
      <c r="AF75" s="1">
        <v>0.795233963679287</v>
      </c>
      <c r="AG75" s="1">
        <v>0.764405377585301</v>
      </c>
      <c r="AH75" s="1">
        <v>0.799901968761124</v>
      </c>
      <c r="AI75" s="1">
        <v>0.812390262507722</v>
      </c>
      <c r="AJ75" s="1" t="s">
        <v>46</v>
      </c>
      <c r="AK75" s="1">
        <v>0.817780489238153</v>
      </c>
      <c r="AL75" s="1">
        <v>0.791764301505422</v>
      </c>
      <c r="AM75" s="1">
        <v>0.313661267155916</v>
      </c>
      <c r="AN75" s="1">
        <v>0.601156458279152</v>
      </c>
      <c r="AO75" s="1">
        <v>74</v>
      </c>
    </row>
    <row r="76" s="1" customFormat="1" spans="1:41">
      <c r="A76" s="1" t="s">
        <v>313</v>
      </c>
      <c r="B76" s="1" t="s">
        <v>314</v>
      </c>
      <c r="C76" s="1">
        <v>1370.418339</v>
      </c>
      <c r="D76" s="1" t="s">
        <v>315</v>
      </c>
      <c r="E76" s="1" t="s">
        <v>316</v>
      </c>
      <c r="F76" s="1" t="s">
        <v>44</v>
      </c>
      <c r="G76" s="1" t="s">
        <v>45</v>
      </c>
      <c r="H76" s="1">
        <v>8</v>
      </c>
      <c r="I76" s="1">
        <v>64</v>
      </c>
      <c r="J76" s="1">
        <v>61</v>
      </c>
      <c r="K76" s="1">
        <v>95.3125</v>
      </c>
      <c r="L76" s="1">
        <v>57</v>
      </c>
      <c r="M76" s="1">
        <v>89.0625</v>
      </c>
      <c r="N76" s="1">
        <v>57</v>
      </c>
      <c r="O76" s="1">
        <v>89.0625</v>
      </c>
      <c r="P76" s="1">
        <v>-10.2842456140351</v>
      </c>
      <c r="Q76" s="1">
        <f t="shared" si="2"/>
        <v>-586.202000000001</v>
      </c>
      <c r="R76" s="1">
        <v>-10.45</v>
      </c>
      <c r="S76" s="1">
        <v>-13.681</v>
      </c>
      <c r="T76" s="1">
        <v>-6.001</v>
      </c>
      <c r="U76" s="1">
        <v>-8.31361403508772</v>
      </c>
      <c r="V76" s="1">
        <v>-9.35</v>
      </c>
      <c r="W76" s="1">
        <v>-9.26815789473684</v>
      </c>
      <c r="X76" s="1">
        <v>-9.703</v>
      </c>
      <c r="Y76" s="1">
        <v>0.445514484765356</v>
      </c>
      <c r="Z76" s="1">
        <v>0.468284173267105</v>
      </c>
      <c r="AA76" s="1">
        <v>0.568360655737705</v>
      </c>
      <c r="AB76" s="1">
        <v>0.56</v>
      </c>
      <c r="AC76" s="1">
        <v>0.19882938274523</v>
      </c>
      <c r="AD76" s="1">
        <v>0.192894393354304</v>
      </c>
      <c r="AE76" s="1">
        <v>0.732470731423563</v>
      </c>
      <c r="AF76" s="1">
        <v>0.801416702795018</v>
      </c>
      <c r="AG76" s="1">
        <v>0.815017000074107</v>
      </c>
      <c r="AH76" s="1">
        <v>0.789588626006445</v>
      </c>
      <c r="AI76" s="1">
        <v>0.814827326201692</v>
      </c>
      <c r="AJ76" s="1">
        <v>0.803604188497208</v>
      </c>
      <c r="AK76" s="1">
        <v>0.812380259725766</v>
      </c>
      <c r="AL76" s="1">
        <v>0.818955620084146</v>
      </c>
      <c r="AM76" s="1">
        <v>0.276750303195557</v>
      </c>
      <c r="AN76" s="1">
        <v>0.598729435888546</v>
      </c>
      <c r="AO76" s="1">
        <v>75</v>
      </c>
    </row>
    <row r="77" s="1" customFormat="1" spans="1:41">
      <c r="A77" s="1" t="s">
        <v>317</v>
      </c>
      <c r="B77" s="1" t="s">
        <v>318</v>
      </c>
      <c r="C77" s="1">
        <v>1118.13339</v>
      </c>
      <c r="D77" s="1" t="s">
        <v>319</v>
      </c>
      <c r="E77" s="1" t="s">
        <v>320</v>
      </c>
      <c r="F77" s="1" t="s">
        <v>44</v>
      </c>
      <c r="G77" s="1" t="s">
        <v>45</v>
      </c>
      <c r="H77" s="1">
        <v>8</v>
      </c>
      <c r="I77" s="1">
        <v>64</v>
      </c>
      <c r="J77" s="1">
        <v>64</v>
      </c>
      <c r="K77" s="1">
        <v>100</v>
      </c>
      <c r="L77" s="1">
        <v>46</v>
      </c>
      <c r="M77" s="1">
        <v>71.875</v>
      </c>
      <c r="N77" s="1">
        <v>46</v>
      </c>
      <c r="O77" s="1">
        <v>71.875</v>
      </c>
      <c r="P77" s="1">
        <v>-8.76915217391304</v>
      </c>
      <c r="Q77" s="1">
        <f t="shared" si="2"/>
        <v>-403.381</v>
      </c>
      <c r="R77" s="1">
        <v>-8.7495</v>
      </c>
      <c r="S77" s="1">
        <v>-12.287</v>
      </c>
      <c r="T77" s="1">
        <v>-5.997</v>
      </c>
      <c r="U77" s="1">
        <v>-7.59476086956522</v>
      </c>
      <c r="V77" s="1">
        <v>-7.389</v>
      </c>
      <c r="W77" s="1">
        <v>-7.56826086956522</v>
      </c>
      <c r="X77" s="1">
        <v>-7.377</v>
      </c>
      <c r="Y77" s="1">
        <v>0.336263488609596</v>
      </c>
      <c r="Z77" s="1">
        <v>0.332350933266546</v>
      </c>
      <c r="AA77" s="1">
        <v>0.55375</v>
      </c>
      <c r="AB77" s="1">
        <v>0.54</v>
      </c>
      <c r="AC77" s="1">
        <v>0.217419503674767</v>
      </c>
      <c r="AD77" s="1">
        <v>0.200195864333094</v>
      </c>
      <c r="AE77" s="1">
        <v>0.737712992758002</v>
      </c>
      <c r="AF77" s="1">
        <v>0.794458102951032</v>
      </c>
      <c r="AG77" s="1">
        <v>0.792317517200494</v>
      </c>
      <c r="AH77" s="1">
        <v>0.778779230011912</v>
      </c>
      <c r="AI77" s="1">
        <v>0.810186916690573</v>
      </c>
      <c r="AJ77" s="1">
        <v>0.777112890983774</v>
      </c>
      <c r="AK77" s="1">
        <v>0.802200363266992</v>
      </c>
      <c r="AL77" s="1">
        <v>0.82417989519446</v>
      </c>
      <c r="AM77" s="1">
        <v>0.275041309480483</v>
      </c>
      <c r="AN77" s="1">
        <v>0.59018598155047</v>
      </c>
      <c r="AO77" s="1">
        <v>76</v>
      </c>
    </row>
    <row r="78" s="1" customFormat="1" spans="1:41">
      <c r="A78" s="1" t="s">
        <v>321</v>
      </c>
      <c r="B78" s="1" t="s">
        <v>322</v>
      </c>
      <c r="C78" s="1">
        <v>543.546069</v>
      </c>
      <c r="D78" s="1" t="s">
        <v>323</v>
      </c>
      <c r="E78" s="1" t="s">
        <v>324</v>
      </c>
      <c r="F78" s="1" t="s">
        <v>44</v>
      </c>
      <c r="G78" s="1" t="s">
        <v>45</v>
      </c>
      <c r="H78" s="1">
        <v>8</v>
      </c>
      <c r="I78" s="1">
        <v>64</v>
      </c>
      <c r="J78" s="1">
        <v>64</v>
      </c>
      <c r="K78" s="1">
        <v>100</v>
      </c>
      <c r="L78" s="1">
        <v>58</v>
      </c>
      <c r="M78" s="1">
        <v>90.625</v>
      </c>
      <c r="N78" s="1">
        <v>58</v>
      </c>
      <c r="O78" s="1">
        <v>90.625</v>
      </c>
      <c r="P78" s="1">
        <v>-6.0721724137931</v>
      </c>
      <c r="Q78" s="1">
        <f t="shared" si="2"/>
        <v>-352.186</v>
      </c>
      <c r="R78" s="1">
        <v>-5.5315</v>
      </c>
      <c r="S78" s="1">
        <v>-10.393</v>
      </c>
      <c r="T78" s="1">
        <v>-4.607</v>
      </c>
      <c r="U78" s="1">
        <v>-3.943</v>
      </c>
      <c r="V78" s="1">
        <v>-3.828</v>
      </c>
      <c r="W78" s="1">
        <v>-4.56148275862069</v>
      </c>
      <c r="X78" s="1">
        <v>-4.2485</v>
      </c>
      <c r="Y78" s="1">
        <v>0.526850417206224</v>
      </c>
      <c r="Z78" s="1">
        <v>0.560576807695746</v>
      </c>
      <c r="AA78" s="1">
        <v>0.705</v>
      </c>
      <c r="AB78" s="1">
        <v>0.705</v>
      </c>
      <c r="AC78" s="1">
        <v>0.218891333126082</v>
      </c>
      <c r="AD78" s="1">
        <v>0.24190614713048</v>
      </c>
      <c r="AE78" s="1">
        <v>0.780104049858537</v>
      </c>
      <c r="AF78" s="1">
        <v>0.811735187582284</v>
      </c>
      <c r="AG78" s="1">
        <v>0.787463012084258</v>
      </c>
      <c r="AH78" s="1">
        <v>0.79922011482137</v>
      </c>
      <c r="AI78" s="1">
        <v>0.818357390834184</v>
      </c>
      <c r="AJ78" s="1">
        <v>0.774569853102224</v>
      </c>
      <c r="AK78" s="1">
        <v>0.818198346398238</v>
      </c>
      <c r="AL78" s="1">
        <v>0.824597812181587</v>
      </c>
      <c r="AM78" s="1">
        <v>0.486730073179248</v>
      </c>
      <c r="AN78" s="1">
        <v>0.690563136269907</v>
      </c>
      <c r="AO78" s="1">
        <v>77</v>
      </c>
    </row>
    <row r="79" s="1" customFormat="1" spans="1:41">
      <c r="A79" s="1" t="s">
        <v>325</v>
      </c>
      <c r="B79" s="1" t="s">
        <v>326</v>
      </c>
      <c r="C79" s="1">
        <v>655.611856</v>
      </c>
      <c r="D79" s="1" t="s">
        <v>327</v>
      </c>
      <c r="E79" s="1" t="s">
        <v>328</v>
      </c>
      <c r="F79" s="1" t="s">
        <v>44</v>
      </c>
      <c r="G79" s="1" t="s">
        <v>45</v>
      </c>
      <c r="H79" s="1">
        <v>8</v>
      </c>
      <c r="I79" s="1">
        <v>64</v>
      </c>
      <c r="J79" s="1">
        <v>62</v>
      </c>
      <c r="K79" s="1">
        <v>96.875</v>
      </c>
      <c r="L79" s="1">
        <v>50</v>
      </c>
      <c r="M79" s="1">
        <v>78.125</v>
      </c>
      <c r="N79" s="1">
        <v>50</v>
      </c>
      <c r="O79" s="1">
        <v>78.125</v>
      </c>
      <c r="P79" s="1">
        <v>-5.51384</v>
      </c>
      <c r="Q79" s="1">
        <f t="shared" si="2"/>
        <v>-275.692</v>
      </c>
      <c r="R79" s="1">
        <v>-5.6</v>
      </c>
      <c r="S79" s="1">
        <v>-7.771</v>
      </c>
      <c r="T79" s="1">
        <v>-3.95</v>
      </c>
      <c r="U79" s="1">
        <v>-3.10116</v>
      </c>
      <c r="V79" s="1">
        <v>-3.0345</v>
      </c>
      <c r="W79" s="1">
        <v>-3.6601</v>
      </c>
      <c r="X79" s="1">
        <v>-3.479</v>
      </c>
      <c r="Y79" s="1">
        <v>0.446160492986087</v>
      </c>
      <c r="Z79" s="1">
        <v>0.466590400542489</v>
      </c>
      <c r="AA79" s="1">
        <v>0.649677419354839</v>
      </c>
      <c r="AB79" s="1">
        <v>0.64</v>
      </c>
      <c r="AC79" s="1">
        <v>0.227163359764324</v>
      </c>
      <c r="AD79" s="1">
        <v>0.202456606809653</v>
      </c>
      <c r="AE79" s="1">
        <v>0.750578367259014</v>
      </c>
      <c r="AF79" s="1">
        <v>0.808758134992593</v>
      </c>
      <c r="AG79" s="1">
        <v>0.780330476868771</v>
      </c>
      <c r="AH79" s="1">
        <v>0.801371974460511</v>
      </c>
      <c r="AI79" s="1">
        <v>0.812027057714126</v>
      </c>
      <c r="AJ79" s="1" t="s">
        <v>46</v>
      </c>
      <c r="AK79" s="1">
        <v>0.805443342157008</v>
      </c>
      <c r="AL79" s="1">
        <v>0.808531799510842</v>
      </c>
      <c r="AM79" s="1">
        <v>0.377282991944493</v>
      </c>
      <c r="AN79" s="1">
        <v>0.64899042597121</v>
      </c>
      <c r="AO79" s="1">
        <v>78</v>
      </c>
    </row>
    <row r="80" s="1" customFormat="1" spans="1:41">
      <c r="A80" s="1" t="s">
        <v>329</v>
      </c>
      <c r="B80" s="1" t="s">
        <v>330</v>
      </c>
      <c r="C80" s="1">
        <v>1235.970456</v>
      </c>
      <c r="D80" s="1" t="s">
        <v>331</v>
      </c>
      <c r="E80" s="1" t="s">
        <v>332</v>
      </c>
      <c r="F80" s="1" t="s">
        <v>44</v>
      </c>
      <c r="G80" s="1" t="s">
        <v>45</v>
      </c>
      <c r="H80" s="1">
        <v>8</v>
      </c>
      <c r="I80" s="1">
        <v>64</v>
      </c>
      <c r="J80" s="1">
        <v>63</v>
      </c>
      <c r="K80" s="1">
        <v>98.4375</v>
      </c>
      <c r="L80" s="1">
        <v>45</v>
      </c>
      <c r="M80" s="1">
        <v>70.3125</v>
      </c>
      <c r="N80" s="1">
        <v>45</v>
      </c>
      <c r="O80" s="1">
        <v>70.3125</v>
      </c>
      <c r="P80" s="1">
        <v>-9.81997777777778</v>
      </c>
      <c r="Q80" s="1">
        <f t="shared" si="2"/>
        <v>-441.899</v>
      </c>
      <c r="R80" s="1">
        <v>-9.766</v>
      </c>
      <c r="S80" s="1">
        <v>-13.123</v>
      </c>
      <c r="T80" s="1">
        <v>-7.551</v>
      </c>
      <c r="U80" s="1">
        <v>-7.78446666666667</v>
      </c>
      <c r="V80" s="1">
        <v>-7.857</v>
      </c>
      <c r="W80" s="1">
        <v>-8.18235555555556</v>
      </c>
      <c r="X80" s="1">
        <v>-8.386</v>
      </c>
      <c r="Y80" s="1">
        <v>0.27454863903058</v>
      </c>
      <c r="Z80" s="1">
        <v>0.233360511869064</v>
      </c>
      <c r="AA80" s="1">
        <v>0.541428571428571</v>
      </c>
      <c r="AB80" s="1">
        <v>0.53</v>
      </c>
      <c r="AC80" s="1">
        <v>0.191084425467455</v>
      </c>
      <c r="AD80" s="1">
        <v>0.183379802367085</v>
      </c>
      <c r="AE80" s="1">
        <v>0.735477369196793</v>
      </c>
      <c r="AF80" s="1">
        <v>0.799031049599188</v>
      </c>
      <c r="AG80" s="1">
        <v>0.813085848450437</v>
      </c>
      <c r="AH80" s="1">
        <v>0.79598792703866</v>
      </c>
      <c r="AI80" s="1">
        <v>0.814297010354406</v>
      </c>
      <c r="AJ80" s="1">
        <v>0.820070691855825</v>
      </c>
      <c r="AK80" s="1">
        <v>0.811064248490875</v>
      </c>
      <c r="AL80" s="1">
        <v>0.808007908947663</v>
      </c>
      <c r="AM80" s="1">
        <v>0.253183489771557</v>
      </c>
      <c r="AN80" s="1">
        <v>0.610628788528984</v>
      </c>
      <c r="AO80" s="1">
        <v>79</v>
      </c>
    </row>
    <row r="81" s="1" customFormat="1" spans="1:41">
      <c r="A81" s="1" t="s">
        <v>333</v>
      </c>
      <c r="B81" s="1" t="s">
        <v>334</v>
      </c>
      <c r="C81" s="1">
        <v>1819.83365</v>
      </c>
      <c r="D81" s="1" t="s">
        <v>335</v>
      </c>
      <c r="E81" s="1" t="s">
        <v>336</v>
      </c>
      <c r="F81" s="1" t="s">
        <v>44</v>
      </c>
      <c r="G81" s="1" t="s">
        <v>45</v>
      </c>
      <c r="H81" s="1">
        <v>8</v>
      </c>
      <c r="I81" s="1">
        <v>64</v>
      </c>
      <c r="J81" s="1">
        <v>64</v>
      </c>
      <c r="K81" s="1">
        <v>100</v>
      </c>
      <c r="L81" s="1">
        <v>48</v>
      </c>
      <c r="M81" s="1">
        <v>75</v>
      </c>
      <c r="N81" s="1">
        <v>48</v>
      </c>
      <c r="O81" s="1">
        <v>75</v>
      </c>
      <c r="P81" s="1">
        <v>-11.52575</v>
      </c>
      <c r="Q81" s="1">
        <f t="shared" si="2"/>
        <v>-553.236</v>
      </c>
      <c r="R81" s="1">
        <v>-11.5805</v>
      </c>
      <c r="S81" s="1">
        <v>-16.313</v>
      </c>
      <c r="T81" s="1">
        <v>-7.738</v>
      </c>
      <c r="U81" s="1">
        <v>-10.3331666666667</v>
      </c>
      <c r="V81" s="1">
        <v>-9.9495</v>
      </c>
      <c r="W81" s="1">
        <v>-10.4724375</v>
      </c>
      <c r="X81" s="1">
        <v>-10.455</v>
      </c>
      <c r="Y81" s="1">
        <v>0.139030417874387</v>
      </c>
      <c r="Z81" s="1">
        <v>0.117807387044157</v>
      </c>
      <c r="AA81" s="1">
        <v>0.49421875</v>
      </c>
      <c r="AB81" s="1">
        <v>0.48</v>
      </c>
      <c r="AC81" s="1">
        <v>0.203554202626003</v>
      </c>
      <c r="AD81" s="1">
        <v>0.192987442395535</v>
      </c>
      <c r="AE81" s="1">
        <v>0.717017061605291</v>
      </c>
      <c r="AF81" s="1">
        <v>0.785047137174444</v>
      </c>
      <c r="AG81" s="1">
        <v>0.77210458287609</v>
      </c>
      <c r="AH81" s="1">
        <v>0.775326130296916</v>
      </c>
      <c r="AI81" s="1">
        <v>0.808756044554645</v>
      </c>
      <c r="AJ81" s="1">
        <v>0.79563320025771</v>
      </c>
      <c r="AK81" s="1">
        <v>0.797560274951288</v>
      </c>
      <c r="AL81" s="1">
        <v>0.815534971878503</v>
      </c>
      <c r="AM81" s="1">
        <v>0.250532076500227</v>
      </c>
      <c r="AN81" s="1">
        <v>0.567738050676891</v>
      </c>
      <c r="AO81" s="1">
        <v>80</v>
      </c>
    </row>
    <row r="82" s="1" customFormat="1" spans="1:41">
      <c r="A82" s="1" t="s">
        <v>337</v>
      </c>
      <c r="B82" s="1" t="s">
        <v>338</v>
      </c>
      <c r="C82" s="1">
        <v>1779.456607</v>
      </c>
      <c r="D82" s="1" t="s">
        <v>339</v>
      </c>
      <c r="E82" s="1" t="s">
        <v>340</v>
      </c>
      <c r="F82" s="1" t="s">
        <v>44</v>
      </c>
      <c r="G82" s="1" t="s">
        <v>45</v>
      </c>
      <c r="H82" s="1">
        <v>8</v>
      </c>
      <c r="I82" s="1">
        <v>64</v>
      </c>
      <c r="J82" s="1">
        <v>63</v>
      </c>
      <c r="K82" s="1">
        <v>98.4375</v>
      </c>
      <c r="L82" s="1">
        <v>38</v>
      </c>
      <c r="M82" s="1">
        <v>59.375</v>
      </c>
      <c r="N82" s="1">
        <v>38</v>
      </c>
      <c r="O82" s="1">
        <v>59.375</v>
      </c>
      <c r="P82" s="1">
        <v>-10.3411315789474</v>
      </c>
      <c r="Q82" s="1">
        <f t="shared" si="2"/>
        <v>-392.963000000001</v>
      </c>
      <c r="R82" s="1">
        <v>-10.181</v>
      </c>
      <c r="S82" s="1">
        <v>-14.289</v>
      </c>
      <c r="T82" s="1">
        <v>-7.116</v>
      </c>
      <c r="U82" s="1">
        <v>-8.99281578947368</v>
      </c>
      <c r="V82" s="1">
        <v>-8.7125</v>
      </c>
      <c r="W82" s="1">
        <v>-8.96721052631579</v>
      </c>
      <c r="X82" s="1">
        <v>-8.3195</v>
      </c>
      <c r="Y82" s="1">
        <v>0.122349838052364</v>
      </c>
      <c r="Z82" s="1">
        <v>0.106251521051986</v>
      </c>
      <c r="AA82" s="1">
        <v>0.52952380952381</v>
      </c>
      <c r="AB82" s="1">
        <v>0.48</v>
      </c>
      <c r="AC82" s="1">
        <v>0.189479692798608</v>
      </c>
      <c r="AD82" s="1">
        <v>0.187417567778372</v>
      </c>
      <c r="AE82" s="1">
        <v>0.694357648200319</v>
      </c>
      <c r="AF82" s="1">
        <v>0.78318855037434</v>
      </c>
      <c r="AG82" s="1" t="s">
        <v>46</v>
      </c>
      <c r="AH82" s="1">
        <v>0.788348818144131</v>
      </c>
      <c r="AI82" s="1">
        <v>0.810417491127813</v>
      </c>
      <c r="AJ82" s="1">
        <v>0.792765198279885</v>
      </c>
      <c r="AK82" s="1">
        <v>0.808003714694928</v>
      </c>
      <c r="AL82" s="1">
        <v>0.80547995128584</v>
      </c>
      <c r="AM82" s="1">
        <v>0.247186465889456</v>
      </c>
      <c r="AN82" s="1">
        <v>0.572331187357779</v>
      </c>
      <c r="AO82" s="1">
        <v>81</v>
      </c>
    </row>
    <row r="83" s="1" customFormat="1" spans="1:41">
      <c r="A83" s="1" t="s">
        <v>341</v>
      </c>
      <c r="B83" s="1" t="s">
        <v>342</v>
      </c>
      <c r="C83" s="1">
        <v>963.857472</v>
      </c>
      <c r="D83" s="1" t="s">
        <v>343</v>
      </c>
      <c r="E83" s="1" t="s">
        <v>344</v>
      </c>
      <c r="F83" s="1" t="s">
        <v>44</v>
      </c>
      <c r="G83" s="1" t="s">
        <v>45</v>
      </c>
      <c r="H83" s="1">
        <v>8</v>
      </c>
      <c r="I83" s="1">
        <v>64</v>
      </c>
      <c r="J83" s="1">
        <v>64</v>
      </c>
      <c r="K83" s="1">
        <v>100</v>
      </c>
      <c r="L83" s="1">
        <v>44</v>
      </c>
      <c r="M83" s="1">
        <v>68.75</v>
      </c>
      <c r="N83" s="1">
        <v>44</v>
      </c>
      <c r="O83" s="1">
        <v>68.75</v>
      </c>
      <c r="P83" s="1">
        <v>-8.37915909090909</v>
      </c>
      <c r="Q83" s="1">
        <f t="shared" si="2"/>
        <v>-368.683</v>
      </c>
      <c r="R83" s="1">
        <v>-8.3465</v>
      </c>
      <c r="S83" s="1">
        <v>-11.313</v>
      </c>
      <c r="T83" s="1">
        <v>-5.855</v>
      </c>
      <c r="U83" s="1">
        <v>-6.51375</v>
      </c>
      <c r="V83" s="1">
        <v>-6.3055</v>
      </c>
      <c r="W83" s="1">
        <v>-6.92306818181818</v>
      </c>
      <c r="X83" s="1">
        <v>-6.8435</v>
      </c>
      <c r="Y83" s="1">
        <v>0.335210108341079</v>
      </c>
      <c r="Z83" s="1">
        <v>0.305126317708747</v>
      </c>
      <c r="AA83" s="1">
        <v>0.59546875</v>
      </c>
      <c r="AB83" s="1">
        <v>0.585</v>
      </c>
      <c r="AC83" s="1">
        <v>0.194701549992965</v>
      </c>
      <c r="AD83" s="1">
        <v>0.18137016237531</v>
      </c>
      <c r="AE83" s="1">
        <v>0.749460696189228</v>
      </c>
      <c r="AF83" s="1">
        <v>0.811650129563702</v>
      </c>
      <c r="AG83" s="1">
        <v>0.805171357633897</v>
      </c>
      <c r="AH83" s="1">
        <v>0.78712657902698</v>
      </c>
      <c r="AI83" s="1">
        <v>0.811119528426207</v>
      </c>
      <c r="AJ83" s="1">
        <v>0.752551945669767</v>
      </c>
      <c r="AK83" s="1">
        <v>0.805940678334199</v>
      </c>
      <c r="AL83" s="1">
        <v>0.800418761039105</v>
      </c>
      <c r="AM83" s="1">
        <v>0.305197372973755</v>
      </c>
      <c r="AN83" s="1">
        <v>0.642186947248973</v>
      </c>
      <c r="AO83" s="1">
        <v>82</v>
      </c>
    </row>
    <row r="84" s="1" customFormat="1" spans="1:41">
      <c r="A84" s="1" t="s">
        <v>345</v>
      </c>
      <c r="B84" s="1" t="s">
        <v>346</v>
      </c>
      <c r="C84" s="1">
        <v>2227.375264</v>
      </c>
      <c r="D84" s="1" t="s">
        <v>347</v>
      </c>
      <c r="E84" s="1" t="s">
        <v>348</v>
      </c>
      <c r="F84" s="1" t="s">
        <v>44</v>
      </c>
      <c r="G84" s="1" t="s">
        <v>45</v>
      </c>
      <c r="H84" s="1">
        <v>8</v>
      </c>
      <c r="I84" s="1">
        <v>64</v>
      </c>
      <c r="J84" s="1">
        <v>64</v>
      </c>
      <c r="K84" s="1">
        <v>100</v>
      </c>
      <c r="L84" s="1">
        <v>43</v>
      </c>
      <c r="M84" s="1">
        <v>67.1875</v>
      </c>
      <c r="N84" s="1">
        <v>43</v>
      </c>
      <c r="O84" s="1">
        <v>67.1875</v>
      </c>
      <c r="P84" s="1">
        <v>-8.7693488372093</v>
      </c>
      <c r="Q84" s="1">
        <f t="shared" si="2"/>
        <v>-377.082</v>
      </c>
      <c r="R84" s="1">
        <v>-8.544</v>
      </c>
      <c r="S84" s="1">
        <v>-15.125</v>
      </c>
      <c r="T84" s="1">
        <v>-6.522</v>
      </c>
      <c r="U84" s="1">
        <v>-7.21048837209302</v>
      </c>
      <c r="V84" s="1">
        <v>-6.798</v>
      </c>
      <c r="W84" s="1">
        <v>-7.32027906976744</v>
      </c>
      <c r="X84" s="1">
        <v>-7.029</v>
      </c>
      <c r="Y84" s="1">
        <v>0.0997464347485206</v>
      </c>
      <c r="Z84" s="1">
        <v>0.0906451991724014</v>
      </c>
      <c r="AA84" s="1">
        <v>0.534375</v>
      </c>
      <c r="AB84" s="1">
        <v>0.51</v>
      </c>
      <c r="AC84" s="1">
        <v>0.163939122361964</v>
      </c>
      <c r="AD84" s="1">
        <v>0.150923400615861</v>
      </c>
      <c r="AE84" s="1">
        <v>0.716003697340442</v>
      </c>
      <c r="AF84" s="1">
        <v>0.793553271856104</v>
      </c>
      <c r="AG84" s="1">
        <v>0.817990425301989</v>
      </c>
      <c r="AH84" s="1">
        <v>0.766169941596679</v>
      </c>
      <c r="AI84" s="1">
        <v>0.822259155418051</v>
      </c>
      <c r="AJ84" s="1">
        <v>0.823805968202535</v>
      </c>
      <c r="AK84" s="1">
        <v>0.807522161805326</v>
      </c>
      <c r="AL84" s="1">
        <v>0.797479435320927</v>
      </c>
      <c r="AM84" s="1">
        <v>0.265457036906901</v>
      </c>
      <c r="AN84" s="1">
        <v>0.579435676724788</v>
      </c>
      <c r="AO84" s="1">
        <v>83</v>
      </c>
    </row>
    <row r="85" s="1" customFormat="1" spans="1:41">
      <c r="A85" s="1" t="s">
        <v>349</v>
      </c>
      <c r="B85" s="1" t="s">
        <v>350</v>
      </c>
      <c r="C85" s="1">
        <v>879.177126</v>
      </c>
      <c r="D85" s="1" t="s">
        <v>351</v>
      </c>
      <c r="E85" s="1" t="s">
        <v>352</v>
      </c>
      <c r="F85" s="1" t="s">
        <v>44</v>
      </c>
      <c r="G85" s="1" t="s">
        <v>45</v>
      </c>
      <c r="H85" s="1">
        <v>8</v>
      </c>
      <c r="I85" s="1">
        <v>64</v>
      </c>
      <c r="J85" s="1">
        <v>61</v>
      </c>
      <c r="K85" s="1">
        <v>95.3125</v>
      </c>
      <c r="L85" s="1">
        <v>42</v>
      </c>
      <c r="M85" s="1">
        <v>65.625</v>
      </c>
      <c r="N85" s="1">
        <v>42</v>
      </c>
      <c r="O85" s="1">
        <v>65.625</v>
      </c>
      <c r="P85" s="1">
        <v>-8.16607142857143</v>
      </c>
      <c r="Q85" s="1">
        <f t="shared" si="2"/>
        <v>-342.975</v>
      </c>
      <c r="R85" s="1">
        <v>-8.126</v>
      </c>
      <c r="S85" s="1">
        <v>-10.498</v>
      </c>
      <c r="T85" s="1">
        <v>-5.398</v>
      </c>
      <c r="U85" s="1">
        <v>-5.89142857142857</v>
      </c>
      <c r="V85" s="1">
        <v>-5.747</v>
      </c>
      <c r="W85" s="1">
        <v>-6.13088095238095</v>
      </c>
      <c r="X85" s="1">
        <v>-6.164</v>
      </c>
      <c r="Y85" s="1">
        <v>0.381816123123883</v>
      </c>
      <c r="Z85" s="1">
        <v>0.366828693215147</v>
      </c>
      <c r="AA85" s="1">
        <v>0.58655737704918</v>
      </c>
      <c r="AB85" s="1">
        <v>0.56</v>
      </c>
      <c r="AC85" s="1">
        <v>0.178572817593685</v>
      </c>
      <c r="AD85" s="1">
        <v>0.177317476055798</v>
      </c>
      <c r="AE85" s="1">
        <v>0.747463720427366</v>
      </c>
      <c r="AF85" s="1">
        <v>0.797927807524092</v>
      </c>
      <c r="AG85" s="1">
        <v>0.801198330463256</v>
      </c>
      <c r="AH85" s="1">
        <v>0.789697442496264</v>
      </c>
      <c r="AI85" s="1">
        <v>0.814098579765149</v>
      </c>
      <c r="AJ85" s="1">
        <v>0.801086978636881</v>
      </c>
      <c r="AK85" s="1">
        <v>0.810055375808803</v>
      </c>
      <c r="AL85" s="1">
        <v>0.804550193994029</v>
      </c>
      <c r="AM85" s="1">
        <v>0.311747650009875</v>
      </c>
      <c r="AN85" s="1">
        <v>0.636993893679041</v>
      </c>
      <c r="AO85" s="1">
        <v>84</v>
      </c>
    </row>
    <row r="86" s="1" customFormat="1" spans="1:41">
      <c r="A86" s="1" t="s">
        <v>353</v>
      </c>
      <c r="B86" s="1" t="s">
        <v>354</v>
      </c>
      <c r="C86" s="1">
        <v>1342.48399</v>
      </c>
      <c r="D86" s="1" t="s">
        <v>355</v>
      </c>
      <c r="E86" s="1" t="s">
        <v>356</v>
      </c>
      <c r="F86" s="1" t="s">
        <v>44</v>
      </c>
      <c r="G86" s="1" t="s">
        <v>45</v>
      </c>
      <c r="H86" s="1">
        <v>8</v>
      </c>
      <c r="I86" s="1">
        <v>64</v>
      </c>
      <c r="J86" s="1">
        <v>63</v>
      </c>
      <c r="K86" s="1">
        <v>98.4375</v>
      </c>
      <c r="L86" s="1">
        <v>53</v>
      </c>
      <c r="M86" s="1">
        <v>82.8125</v>
      </c>
      <c r="N86" s="1">
        <v>53</v>
      </c>
      <c r="O86" s="1">
        <v>82.8125</v>
      </c>
      <c r="P86" s="1">
        <v>-10.6489245283019</v>
      </c>
      <c r="Q86" s="1">
        <f t="shared" si="2"/>
        <v>-564.393000000001</v>
      </c>
      <c r="R86" s="1">
        <v>-9.803</v>
      </c>
      <c r="S86" s="1">
        <v>-18.119</v>
      </c>
      <c r="T86" s="1">
        <v>-7.611</v>
      </c>
      <c r="U86" s="1">
        <v>-9.95598113207547</v>
      </c>
      <c r="V86" s="1">
        <v>-8.932</v>
      </c>
      <c r="W86" s="1">
        <v>-10.1493773584906</v>
      </c>
      <c r="X86" s="1">
        <v>-9.197</v>
      </c>
      <c r="Y86" s="1">
        <v>0.243744488003114</v>
      </c>
      <c r="Z86" s="1">
        <v>0.220085626366433</v>
      </c>
      <c r="AA86" s="1">
        <v>0.528888888888889</v>
      </c>
      <c r="AB86" s="1">
        <v>0.55</v>
      </c>
      <c r="AC86" s="1">
        <v>0.21517218522247</v>
      </c>
      <c r="AD86" s="1">
        <v>0.206088969425709</v>
      </c>
      <c r="AE86" s="1">
        <v>0.725382406537125</v>
      </c>
      <c r="AF86" s="1">
        <v>0.791381721898973</v>
      </c>
      <c r="AG86" s="1">
        <v>0.828046360672767</v>
      </c>
      <c r="AH86" s="1">
        <v>0.781601097495688</v>
      </c>
      <c r="AI86" s="1">
        <v>0.806808290196177</v>
      </c>
      <c r="AJ86" s="1">
        <v>0.788758752268726</v>
      </c>
      <c r="AK86" s="1">
        <v>0.8082595954859</v>
      </c>
      <c r="AL86" s="1">
        <v>0.812086158699101</v>
      </c>
      <c r="AM86" s="1">
        <v>0.246563305053028</v>
      </c>
      <c r="AN86" s="1">
        <v>0.601673150402882</v>
      </c>
      <c r="AO86" s="1">
        <v>85</v>
      </c>
    </row>
    <row r="87" s="1" customFormat="1" spans="1:41">
      <c r="A87" s="1" t="s">
        <v>357</v>
      </c>
      <c r="B87" s="1" t="s">
        <v>358</v>
      </c>
      <c r="C87" s="1">
        <v>872.765803</v>
      </c>
      <c r="D87" s="1" t="s">
        <v>359</v>
      </c>
      <c r="E87" s="1" t="s">
        <v>360</v>
      </c>
      <c r="F87" s="1" t="s">
        <v>44</v>
      </c>
      <c r="G87" s="1" t="s">
        <v>45</v>
      </c>
      <c r="H87" s="1">
        <v>8</v>
      </c>
      <c r="I87" s="1">
        <v>64</v>
      </c>
      <c r="J87" s="1">
        <v>63</v>
      </c>
      <c r="K87" s="1">
        <v>98.4375</v>
      </c>
      <c r="L87" s="1">
        <v>52</v>
      </c>
      <c r="M87" s="1">
        <v>81.25</v>
      </c>
      <c r="N87" s="1">
        <v>52</v>
      </c>
      <c r="O87" s="1">
        <v>81.25</v>
      </c>
      <c r="P87" s="1">
        <v>-8.37223076923077</v>
      </c>
      <c r="Q87" s="1">
        <f t="shared" si="2"/>
        <v>-435.356</v>
      </c>
      <c r="R87" s="1">
        <v>-8.414</v>
      </c>
      <c r="S87" s="1">
        <v>-12.839</v>
      </c>
      <c r="T87" s="1">
        <v>-5.642</v>
      </c>
      <c r="U87" s="1">
        <v>-7.09148076923077</v>
      </c>
      <c r="V87" s="1">
        <v>-7.0805</v>
      </c>
      <c r="W87" s="1">
        <v>-7.29157692307692</v>
      </c>
      <c r="X87" s="1">
        <v>-7.3425</v>
      </c>
      <c r="Y87" s="1">
        <v>0.41346924212376</v>
      </c>
      <c r="Z87" s="1">
        <v>0.411447849395519</v>
      </c>
      <c r="AA87" s="1">
        <v>0.630634920634921</v>
      </c>
      <c r="AB87" s="1">
        <v>0.62</v>
      </c>
      <c r="AC87" s="1">
        <v>0.24102579428599</v>
      </c>
      <c r="AD87" s="1">
        <v>0.249782413705107</v>
      </c>
      <c r="AE87" s="1">
        <v>0.741255131397601</v>
      </c>
      <c r="AF87" s="1">
        <v>0.79024698120715</v>
      </c>
      <c r="AG87" s="1">
        <v>0.77690711732424</v>
      </c>
      <c r="AH87" s="1">
        <v>0.802304799078625</v>
      </c>
      <c r="AI87" s="1">
        <v>0.823500534171307</v>
      </c>
      <c r="AJ87" s="1" t="s">
        <v>46</v>
      </c>
      <c r="AK87" s="1">
        <v>0.811985624021051</v>
      </c>
      <c r="AL87" s="1">
        <v>0.812425971449701</v>
      </c>
      <c r="AM87" s="1">
        <v>0.317033063598731</v>
      </c>
      <c r="AN87" s="1">
        <v>0.604346922444928</v>
      </c>
      <c r="AO87" s="1">
        <v>86</v>
      </c>
    </row>
    <row r="88" s="1" customFormat="1" spans="1:41">
      <c r="A88" s="1" t="s">
        <v>361</v>
      </c>
      <c r="B88" s="1" t="s">
        <v>362</v>
      </c>
      <c r="C88" s="1">
        <v>704.956218</v>
      </c>
      <c r="D88" s="1" t="s">
        <v>363</v>
      </c>
      <c r="E88" s="1" t="s">
        <v>364</v>
      </c>
      <c r="F88" s="1" t="s">
        <v>44</v>
      </c>
      <c r="G88" s="1" t="s">
        <v>45</v>
      </c>
      <c r="H88" s="1">
        <v>8</v>
      </c>
      <c r="I88" s="1">
        <v>64</v>
      </c>
      <c r="J88" s="1">
        <v>64</v>
      </c>
      <c r="K88" s="1">
        <v>100</v>
      </c>
      <c r="L88" s="1">
        <v>63</v>
      </c>
      <c r="M88" s="1">
        <v>98.4375</v>
      </c>
      <c r="N88" s="1">
        <v>63</v>
      </c>
      <c r="O88" s="1">
        <v>98.4375</v>
      </c>
      <c r="P88" s="1">
        <v>-6.41444444444444</v>
      </c>
      <c r="Q88" s="1">
        <f t="shared" si="2"/>
        <v>-404.11</v>
      </c>
      <c r="R88" s="1">
        <v>-5.931</v>
      </c>
      <c r="S88" s="1">
        <v>-9.896</v>
      </c>
      <c r="T88" s="1">
        <v>-4.658</v>
      </c>
      <c r="U88" s="1">
        <v>-3.48188888888889</v>
      </c>
      <c r="V88" s="1">
        <v>-4.384</v>
      </c>
      <c r="W88" s="1">
        <v>-4.88885714285714</v>
      </c>
      <c r="X88" s="1">
        <v>-4.759</v>
      </c>
      <c r="Y88" s="1">
        <v>0.432525256727327</v>
      </c>
      <c r="Z88" s="1">
        <v>0.458644010666192</v>
      </c>
      <c r="AA88" s="1">
        <v>0.60796875</v>
      </c>
      <c r="AB88" s="1">
        <v>0.61</v>
      </c>
      <c r="AC88" s="1">
        <v>0.296818132474625</v>
      </c>
      <c r="AD88" s="1">
        <v>0.306924443783393</v>
      </c>
      <c r="AE88" s="1">
        <v>0.776362763223168</v>
      </c>
      <c r="AF88" s="1">
        <v>0.81327347889913</v>
      </c>
      <c r="AG88" s="1">
        <v>0.804400983160761</v>
      </c>
      <c r="AH88" s="1">
        <v>0.786820137908835</v>
      </c>
      <c r="AI88" s="1">
        <v>0.814199369813179</v>
      </c>
      <c r="AJ88" s="1">
        <v>0.810717288961641</v>
      </c>
      <c r="AK88" s="1">
        <v>0.785231392032204</v>
      </c>
      <c r="AL88" s="1">
        <v>0.782560115574331</v>
      </c>
      <c r="AM88" s="1">
        <v>0.484589593986594</v>
      </c>
      <c r="AN88" s="1">
        <v>0.682290276305967</v>
      </c>
      <c r="AO88" s="1">
        <v>87</v>
      </c>
    </row>
    <row r="89" s="1" customFormat="1" spans="1:41">
      <c r="A89" s="1" t="s">
        <v>365</v>
      </c>
      <c r="B89" s="1" t="s">
        <v>366</v>
      </c>
      <c r="C89" s="1">
        <v>852.979083</v>
      </c>
      <c r="D89" s="1" t="s">
        <v>367</v>
      </c>
      <c r="E89" s="1" t="s">
        <v>368</v>
      </c>
      <c r="F89" s="1" t="s">
        <v>44</v>
      </c>
      <c r="G89" s="1" t="s">
        <v>45</v>
      </c>
      <c r="H89" s="1">
        <v>8</v>
      </c>
      <c r="I89" s="1">
        <v>64</v>
      </c>
      <c r="J89" s="1">
        <v>63</v>
      </c>
      <c r="K89" s="1">
        <v>98.4375</v>
      </c>
      <c r="L89" s="1">
        <v>55</v>
      </c>
      <c r="M89" s="1">
        <v>85.9375</v>
      </c>
      <c r="N89" s="1">
        <v>55</v>
      </c>
      <c r="O89" s="1">
        <v>85.9375</v>
      </c>
      <c r="P89" s="1">
        <v>-7.57541818181818</v>
      </c>
      <c r="Q89" s="1">
        <f t="shared" si="2"/>
        <v>-416.648</v>
      </c>
      <c r="R89" s="1">
        <v>-7.434</v>
      </c>
      <c r="S89" s="1">
        <v>-10.823</v>
      </c>
      <c r="T89" s="1">
        <v>-5.477</v>
      </c>
      <c r="U89" s="1">
        <v>-5.37523636363636</v>
      </c>
      <c r="V89" s="1">
        <v>-5.435</v>
      </c>
      <c r="W89" s="1">
        <v>-5.88052727272727</v>
      </c>
      <c r="X89" s="1">
        <v>-5.692</v>
      </c>
      <c r="Y89" s="1">
        <v>0.364984146787963</v>
      </c>
      <c r="Z89" s="1">
        <v>0.366601115960119</v>
      </c>
      <c r="AA89" s="1">
        <v>0.601746031746032</v>
      </c>
      <c r="AB89" s="1">
        <v>0.58</v>
      </c>
      <c r="AC89" s="1">
        <v>0.204631670823993</v>
      </c>
      <c r="AD89" s="1">
        <v>0.200744222781537</v>
      </c>
      <c r="AE89" s="1">
        <v>0.754332118061416</v>
      </c>
      <c r="AF89" s="1">
        <v>0.799897791090794</v>
      </c>
      <c r="AG89" s="1">
        <v>0.745693839169567</v>
      </c>
      <c r="AH89" s="1">
        <v>0.780199995408102</v>
      </c>
      <c r="AI89" s="1">
        <v>0.812554390499314</v>
      </c>
      <c r="AJ89" s="1">
        <v>0.796876309238225</v>
      </c>
      <c r="AK89" s="1">
        <v>0.815536417214661</v>
      </c>
      <c r="AL89" s="1">
        <v>0.820175070881987</v>
      </c>
      <c r="AM89" s="1">
        <v>0.318801187335274</v>
      </c>
      <c r="AN89" s="1">
        <v>0.625307571465599</v>
      </c>
      <c r="AO89" s="1">
        <v>88</v>
      </c>
    </row>
    <row r="90" s="1" customFormat="1" spans="1:41">
      <c r="A90" s="1" t="s">
        <v>369</v>
      </c>
      <c r="B90" s="1" t="s">
        <v>370</v>
      </c>
      <c r="C90" s="1">
        <v>756.865953</v>
      </c>
      <c r="D90" s="1" t="s">
        <v>371</v>
      </c>
      <c r="E90" s="1" t="s">
        <v>372</v>
      </c>
      <c r="F90" s="1" t="s">
        <v>44</v>
      </c>
      <c r="G90" s="1" t="s">
        <v>45</v>
      </c>
      <c r="H90" s="1">
        <v>8</v>
      </c>
      <c r="I90" s="1">
        <v>64</v>
      </c>
      <c r="J90" s="1">
        <v>64</v>
      </c>
      <c r="K90" s="1">
        <v>100</v>
      </c>
      <c r="L90" s="1">
        <v>51</v>
      </c>
      <c r="M90" s="1">
        <v>79.6875</v>
      </c>
      <c r="N90" s="1">
        <v>51</v>
      </c>
      <c r="O90" s="1">
        <v>79.6875</v>
      </c>
      <c r="P90" s="1">
        <v>-8.14605882352941</v>
      </c>
      <c r="Q90" s="1">
        <f t="shared" si="2"/>
        <v>-415.449</v>
      </c>
      <c r="R90" s="1">
        <v>-8.351</v>
      </c>
      <c r="S90" s="1">
        <v>-10.965</v>
      </c>
      <c r="T90" s="1">
        <v>-4.633</v>
      </c>
      <c r="U90" s="1">
        <v>-0.646490196078431</v>
      </c>
      <c r="V90" s="1">
        <v>-4.014</v>
      </c>
      <c r="W90" s="1">
        <v>-6.26213725490196</v>
      </c>
      <c r="X90" s="1">
        <v>-6.265</v>
      </c>
      <c r="Y90" s="1">
        <v>0.438920847764147</v>
      </c>
      <c r="Z90" s="1">
        <v>0.430310080135166</v>
      </c>
      <c r="AA90" s="1">
        <v>0.61015625</v>
      </c>
      <c r="AB90" s="1">
        <v>0.6</v>
      </c>
      <c r="AC90" s="1">
        <v>0.257490026093578</v>
      </c>
      <c r="AD90" s="1">
        <v>0.282539594479783</v>
      </c>
      <c r="AE90" s="1">
        <v>0.747279272147256</v>
      </c>
      <c r="AF90" s="1">
        <v>0.797882030082792</v>
      </c>
      <c r="AG90" s="1">
        <v>0.752398485892529</v>
      </c>
      <c r="AH90" s="1">
        <v>0.792796286394451</v>
      </c>
      <c r="AI90" s="1">
        <v>0.819995153594452</v>
      </c>
      <c r="AJ90" s="1" t="s">
        <v>46</v>
      </c>
      <c r="AK90" s="1">
        <v>0.801878723861914</v>
      </c>
      <c r="AL90" s="1">
        <v>0.823596404901495</v>
      </c>
      <c r="AM90" s="1">
        <v>0.312638110947449</v>
      </c>
      <c r="AN90" s="1">
        <v>0.62530892789813</v>
      </c>
      <c r="AO90" s="1">
        <v>89</v>
      </c>
    </row>
    <row r="91" s="1" customFormat="1" spans="1:41">
      <c r="A91" s="1" t="s">
        <v>373</v>
      </c>
      <c r="B91" s="1" t="s">
        <v>374</v>
      </c>
      <c r="C91" s="1">
        <v>392.726807</v>
      </c>
      <c r="D91" s="1" t="s">
        <v>375</v>
      </c>
      <c r="E91" s="1" t="s">
        <v>376</v>
      </c>
      <c r="F91" s="1" t="s">
        <v>44</v>
      </c>
      <c r="G91" s="1" t="s">
        <v>45</v>
      </c>
      <c r="H91" s="1">
        <v>8</v>
      </c>
      <c r="I91" s="1">
        <v>64</v>
      </c>
      <c r="J91" s="1">
        <v>64</v>
      </c>
      <c r="K91" s="1">
        <v>100</v>
      </c>
      <c r="L91" s="1">
        <v>54</v>
      </c>
      <c r="M91" s="1">
        <v>84.375</v>
      </c>
      <c r="N91" s="1">
        <v>54</v>
      </c>
      <c r="O91" s="1">
        <v>84.375</v>
      </c>
      <c r="P91" s="1">
        <v>-4.57677777777778</v>
      </c>
      <c r="Q91" s="1">
        <f t="shared" si="2"/>
        <v>-247.146</v>
      </c>
      <c r="R91" s="1">
        <v>-4.415</v>
      </c>
      <c r="S91" s="1">
        <v>-6.852</v>
      </c>
      <c r="T91" s="1">
        <v>-3.714</v>
      </c>
      <c r="U91" s="1">
        <v>-1.96783333333333</v>
      </c>
      <c r="V91" s="1">
        <v>-1.992</v>
      </c>
      <c r="W91" s="1">
        <v>-2.32053703703704</v>
      </c>
      <c r="X91" s="1">
        <v>-2.29</v>
      </c>
      <c r="Y91" s="1">
        <v>0.483661945259382</v>
      </c>
      <c r="Z91" s="1">
        <v>0.494052982225441</v>
      </c>
      <c r="AA91" s="1">
        <v>0.705</v>
      </c>
      <c r="AB91" s="1">
        <v>0.69</v>
      </c>
      <c r="AC91" s="1">
        <v>0.274876613841376</v>
      </c>
      <c r="AD91" s="1">
        <v>0.264583071805073</v>
      </c>
      <c r="AE91" s="1">
        <v>0.783353745517722</v>
      </c>
      <c r="AF91" s="1">
        <v>0.808652363142638</v>
      </c>
      <c r="AG91" s="1">
        <v>0.770848903673738</v>
      </c>
      <c r="AH91" s="1">
        <v>0.802216502910282</v>
      </c>
      <c r="AI91" s="1">
        <v>0.832554611157698</v>
      </c>
      <c r="AJ91" s="1" t="s">
        <v>46</v>
      </c>
      <c r="AK91" s="1">
        <v>0.813628812003357</v>
      </c>
      <c r="AL91" s="1">
        <v>0.810251230767514</v>
      </c>
      <c r="AM91" s="1">
        <v>0.506842724065421</v>
      </c>
      <c r="AN91" s="1">
        <v>0.685663997365425</v>
      </c>
      <c r="AO91" s="1">
        <v>90</v>
      </c>
    </row>
    <row r="92" s="1" customFormat="1" spans="1:41">
      <c r="A92" s="1" t="s">
        <v>377</v>
      </c>
      <c r="B92" s="1" t="s">
        <v>378</v>
      </c>
      <c r="C92" s="1">
        <v>1634.614097</v>
      </c>
      <c r="D92" s="1" t="s">
        <v>379</v>
      </c>
      <c r="E92" s="1" t="s">
        <v>380</v>
      </c>
      <c r="F92" s="1" t="s">
        <v>44</v>
      </c>
      <c r="G92" s="1" t="s">
        <v>45</v>
      </c>
      <c r="H92" s="1">
        <v>8</v>
      </c>
      <c r="I92" s="1">
        <v>64</v>
      </c>
      <c r="J92" s="1">
        <v>64</v>
      </c>
      <c r="K92" s="1">
        <v>100</v>
      </c>
      <c r="L92" s="1">
        <v>41</v>
      </c>
      <c r="M92" s="1">
        <v>64.0625</v>
      </c>
      <c r="N92" s="1">
        <v>41</v>
      </c>
      <c r="O92" s="1">
        <v>64.0625</v>
      </c>
      <c r="P92" s="1">
        <v>-10.2971219512195</v>
      </c>
      <c r="Q92" s="1">
        <f t="shared" si="2"/>
        <v>-422.182</v>
      </c>
      <c r="R92" s="1">
        <v>-9.945</v>
      </c>
      <c r="S92" s="1">
        <v>-17.17</v>
      </c>
      <c r="T92" s="1">
        <v>-7.662</v>
      </c>
      <c r="U92" s="1">
        <v>-8.04287804878049</v>
      </c>
      <c r="V92" s="1">
        <v>-8.033</v>
      </c>
      <c r="W92" s="1">
        <v>-8.20892682926829</v>
      </c>
      <c r="X92" s="1">
        <v>-8.231</v>
      </c>
      <c r="Y92" s="1">
        <v>0.147265591382703</v>
      </c>
      <c r="Z92" s="1">
        <v>0.124574791768622</v>
      </c>
      <c r="AA92" s="1">
        <v>0.4925</v>
      </c>
      <c r="AB92" s="1">
        <v>0.47</v>
      </c>
      <c r="AC92" s="1">
        <v>0.208998505110553</v>
      </c>
      <c r="AD92" s="1">
        <v>0.207663836781995</v>
      </c>
      <c r="AE92" s="1">
        <v>0.709155898537136</v>
      </c>
      <c r="AF92" s="1">
        <v>0.785366935167031</v>
      </c>
      <c r="AG92" s="1">
        <v>0.772404143959996</v>
      </c>
      <c r="AH92" s="1">
        <v>0.776362950841653</v>
      </c>
      <c r="AI92" s="1">
        <v>0.807953579851632</v>
      </c>
      <c r="AJ92" s="1">
        <v>0.783511423122999</v>
      </c>
      <c r="AK92" s="1">
        <v>0.804431181465023</v>
      </c>
      <c r="AL92" s="1">
        <v>0.804286240478163</v>
      </c>
      <c r="AM92" s="1">
        <v>0.261435854110859</v>
      </c>
      <c r="AN92" s="1">
        <v>0.573040643967192</v>
      </c>
      <c r="AO92" s="1">
        <v>92</v>
      </c>
    </row>
    <row r="93" s="1" customFormat="1" spans="1:41">
      <c r="A93" s="1" t="s">
        <v>381</v>
      </c>
      <c r="B93" s="1" t="s">
        <v>382</v>
      </c>
      <c r="C93" s="1">
        <v>791.408876</v>
      </c>
      <c r="D93" s="1" t="s">
        <v>383</v>
      </c>
      <c r="E93" s="1" t="s">
        <v>384</v>
      </c>
      <c r="F93" s="1" t="s">
        <v>44</v>
      </c>
      <c r="G93" s="1" t="s">
        <v>45</v>
      </c>
      <c r="H93" s="1">
        <v>8</v>
      </c>
      <c r="I93" s="1">
        <v>64</v>
      </c>
      <c r="J93" s="1">
        <v>63</v>
      </c>
      <c r="K93" s="1">
        <v>98.4375</v>
      </c>
      <c r="L93" s="1">
        <v>17</v>
      </c>
      <c r="M93" s="1">
        <v>26.5625</v>
      </c>
      <c r="N93" s="1">
        <v>17</v>
      </c>
      <c r="O93" s="1">
        <v>26.5625</v>
      </c>
      <c r="P93" s="1">
        <v>-8.18611764705882</v>
      </c>
      <c r="Q93" s="1">
        <f t="shared" si="2"/>
        <v>-139.164</v>
      </c>
      <c r="R93" s="1">
        <v>-8.123</v>
      </c>
      <c r="S93" s="1">
        <v>-10.022</v>
      </c>
      <c r="T93" s="1">
        <v>-6.74</v>
      </c>
      <c r="U93" s="1">
        <v>-6.067</v>
      </c>
      <c r="V93" s="1">
        <v>-6.02</v>
      </c>
      <c r="W93" s="1">
        <v>-6.31694117647059</v>
      </c>
      <c r="X93" s="1">
        <v>-6.531</v>
      </c>
      <c r="Y93" s="1">
        <v>0.190043081448726</v>
      </c>
      <c r="Z93" s="1">
        <v>0.176782860224419</v>
      </c>
      <c r="AA93" s="1">
        <v>0.611111111111111</v>
      </c>
      <c r="AB93" s="1">
        <v>0.62</v>
      </c>
      <c r="AC93" s="1">
        <v>0.244488568919385</v>
      </c>
      <c r="AD93" s="1">
        <v>0.25112494101761</v>
      </c>
      <c r="AE93" s="1">
        <v>0.744007609816513</v>
      </c>
      <c r="AF93" s="1">
        <v>0.802920941339553</v>
      </c>
      <c r="AG93" s="1" t="s">
        <v>46</v>
      </c>
      <c r="AH93" s="1">
        <v>0.809183792194124</v>
      </c>
      <c r="AI93" s="1">
        <v>0.825561920977004</v>
      </c>
      <c r="AJ93" s="1" t="s">
        <v>46</v>
      </c>
      <c r="AK93" s="1">
        <v>0.816391041568715</v>
      </c>
      <c r="AL93" s="1">
        <v>0.82833314758875</v>
      </c>
      <c r="AM93" s="1">
        <v>0.290007340491174</v>
      </c>
      <c r="AN93" s="1">
        <v>0.619541050933162</v>
      </c>
      <c r="AO93" s="1">
        <v>93</v>
      </c>
    </row>
    <row r="94" s="1" customFormat="1" spans="1:41">
      <c r="A94" s="1" t="s">
        <v>385</v>
      </c>
      <c r="B94" s="1" t="s">
        <v>386</v>
      </c>
      <c r="C94" s="1">
        <v>389.320447</v>
      </c>
      <c r="D94" s="1" t="s">
        <v>387</v>
      </c>
      <c r="E94" s="1" t="s">
        <v>388</v>
      </c>
      <c r="F94" s="1" t="s">
        <v>44</v>
      </c>
      <c r="G94" s="1" t="s">
        <v>45</v>
      </c>
      <c r="H94" s="1">
        <v>8</v>
      </c>
      <c r="I94" s="1">
        <v>64</v>
      </c>
      <c r="J94" s="1">
        <v>64</v>
      </c>
      <c r="K94" s="1">
        <v>100</v>
      </c>
      <c r="L94" s="1">
        <v>53</v>
      </c>
      <c r="M94" s="1">
        <v>82.8125</v>
      </c>
      <c r="N94" s="1">
        <v>53</v>
      </c>
      <c r="O94" s="1">
        <v>82.8125</v>
      </c>
      <c r="P94" s="1">
        <v>-5.08077358490566</v>
      </c>
      <c r="Q94" s="1">
        <f t="shared" si="2"/>
        <v>-269.281</v>
      </c>
      <c r="R94" s="1">
        <v>-4.987</v>
      </c>
      <c r="S94" s="1">
        <v>-6.87</v>
      </c>
      <c r="T94" s="1">
        <v>-4.053</v>
      </c>
      <c r="U94" s="1">
        <v>-3.6868679245283</v>
      </c>
      <c r="V94" s="1">
        <v>-3.665</v>
      </c>
      <c r="W94" s="1">
        <v>-4.0988679245283</v>
      </c>
      <c r="X94" s="1">
        <v>-4.039</v>
      </c>
      <c r="Y94" s="1">
        <v>0.458688206740534</v>
      </c>
      <c r="Z94" s="1">
        <v>0.473262648491194</v>
      </c>
      <c r="AA94" s="1">
        <v>0.68359375</v>
      </c>
      <c r="AB94" s="1">
        <v>0.69</v>
      </c>
      <c r="AC94" s="1">
        <v>0.261722834031654</v>
      </c>
      <c r="AD94" s="1">
        <v>0.253789038494238</v>
      </c>
      <c r="AE94" s="1">
        <v>0.781844991961694</v>
      </c>
      <c r="AF94" s="1">
        <v>0.803192767042862</v>
      </c>
      <c r="AG94" s="1">
        <v>0.81412974542856</v>
      </c>
      <c r="AH94" s="1">
        <v>0.810720075804967</v>
      </c>
      <c r="AI94" s="1">
        <v>0.825256310302052</v>
      </c>
      <c r="AJ94" s="1">
        <v>0.818055593832951</v>
      </c>
      <c r="AK94" s="1">
        <v>0.80254122769666</v>
      </c>
      <c r="AL94" s="1">
        <v>0.802708919543777</v>
      </c>
      <c r="AM94" s="1">
        <v>0.50250667973421</v>
      </c>
      <c r="AN94" s="1" t="s">
        <v>46</v>
      </c>
      <c r="AO94" s="1">
        <v>94</v>
      </c>
    </row>
    <row r="95" s="1" customFormat="1" spans="1:41">
      <c r="A95" s="1" t="s">
        <v>389</v>
      </c>
      <c r="B95" s="1" t="s">
        <v>390</v>
      </c>
      <c r="C95" s="1">
        <v>1023.548845</v>
      </c>
      <c r="D95" s="1" t="s">
        <v>391</v>
      </c>
      <c r="E95" s="1" t="s">
        <v>392</v>
      </c>
      <c r="F95" s="1" t="s">
        <v>44</v>
      </c>
      <c r="G95" s="1" t="s">
        <v>45</v>
      </c>
      <c r="H95" s="1">
        <v>8</v>
      </c>
      <c r="I95" s="1">
        <v>64</v>
      </c>
      <c r="J95" s="1">
        <v>64</v>
      </c>
      <c r="K95" s="1">
        <v>100</v>
      </c>
      <c r="L95" s="1">
        <v>47</v>
      </c>
      <c r="M95" s="1">
        <v>73.4375</v>
      </c>
      <c r="N95" s="1">
        <v>47</v>
      </c>
      <c r="O95" s="1">
        <v>73.4375</v>
      </c>
      <c r="P95" s="1">
        <v>-7.86159574468085</v>
      </c>
      <c r="Q95" s="1">
        <f t="shared" si="2"/>
        <v>-369.495</v>
      </c>
      <c r="R95" s="1">
        <v>-7.732</v>
      </c>
      <c r="S95" s="1">
        <v>-10.817</v>
      </c>
      <c r="T95" s="1">
        <v>-4.846</v>
      </c>
      <c r="U95" s="1">
        <v>-6.36982978723404</v>
      </c>
      <c r="V95" s="1">
        <v>-6.244</v>
      </c>
      <c r="W95" s="1">
        <v>-6.5821914893617</v>
      </c>
      <c r="X95" s="1">
        <v>-6.486</v>
      </c>
      <c r="Y95" s="1">
        <v>0.336033165159827</v>
      </c>
      <c r="Z95" s="1">
        <v>0.30525317183503</v>
      </c>
      <c r="AA95" s="1">
        <v>0.5940625</v>
      </c>
      <c r="AB95" s="1">
        <v>0.595</v>
      </c>
      <c r="AC95" s="1">
        <v>0.184889094345693</v>
      </c>
      <c r="AD95" s="1">
        <v>0.176760172150762</v>
      </c>
      <c r="AE95" s="1">
        <v>0.740383873160401</v>
      </c>
      <c r="AF95" s="1">
        <v>0.806708735077753</v>
      </c>
      <c r="AG95" s="1">
        <v>0.813232129980069</v>
      </c>
      <c r="AH95" s="1">
        <v>0.805186619261053</v>
      </c>
      <c r="AI95" s="1">
        <v>0.818377489175633</v>
      </c>
      <c r="AJ95" s="1">
        <v>0.819168641749551</v>
      </c>
      <c r="AK95" s="1">
        <v>0.808136714571448</v>
      </c>
      <c r="AL95" s="1">
        <v>0.813732993001135</v>
      </c>
      <c r="AM95" s="1">
        <v>0.306536760283118</v>
      </c>
      <c r="AN95" s="1">
        <v>0.642436443960387</v>
      </c>
      <c r="AO95" s="1">
        <v>95</v>
      </c>
    </row>
    <row r="96" s="1" customFormat="1" spans="1:41">
      <c r="A96" s="1" t="s">
        <v>393</v>
      </c>
      <c r="B96" s="1" t="s">
        <v>394</v>
      </c>
      <c r="C96" s="1">
        <v>735.662575</v>
      </c>
      <c r="D96" s="1" t="s">
        <v>395</v>
      </c>
      <c r="E96" s="1" t="s">
        <v>396</v>
      </c>
      <c r="F96" s="1" t="s">
        <v>44</v>
      </c>
      <c r="G96" s="1" t="s">
        <v>45</v>
      </c>
      <c r="H96" s="1">
        <v>8</v>
      </c>
      <c r="I96" s="1">
        <v>64</v>
      </c>
      <c r="J96" s="1">
        <v>64</v>
      </c>
      <c r="K96" s="1">
        <v>100</v>
      </c>
      <c r="L96" s="1">
        <v>51</v>
      </c>
      <c r="M96" s="1">
        <v>79.6875</v>
      </c>
      <c r="N96" s="1">
        <v>51</v>
      </c>
      <c r="O96" s="1">
        <v>79.6875</v>
      </c>
      <c r="P96" s="1">
        <v>-8.11841176470588</v>
      </c>
      <c r="Q96" s="1">
        <f t="shared" si="2"/>
        <v>-414.039</v>
      </c>
      <c r="R96" s="1">
        <v>-8.204</v>
      </c>
      <c r="S96" s="1">
        <v>-11.652</v>
      </c>
      <c r="T96" s="1">
        <v>-5.056</v>
      </c>
      <c r="U96" s="1">
        <v>-4.70170588235294</v>
      </c>
      <c r="V96" s="1">
        <v>-4.674</v>
      </c>
      <c r="W96" s="1">
        <v>-5.21</v>
      </c>
      <c r="X96" s="1">
        <v>-5.242</v>
      </c>
      <c r="Y96" s="1">
        <v>0.35159215402085</v>
      </c>
      <c r="Z96" s="1">
        <v>0.342775216560992</v>
      </c>
      <c r="AA96" s="1">
        <v>0.6590625</v>
      </c>
      <c r="AB96" s="1">
        <v>0.66</v>
      </c>
      <c r="AC96" s="1">
        <v>0.237571080643088</v>
      </c>
      <c r="AD96" s="1">
        <v>0.257742977335215</v>
      </c>
      <c r="AE96" s="1">
        <v>0.743260289364308</v>
      </c>
      <c r="AF96" s="1">
        <v>0.80707055956262</v>
      </c>
      <c r="AG96" s="1">
        <v>0.77056220859994</v>
      </c>
      <c r="AH96" s="1">
        <v>0.804425981211369</v>
      </c>
      <c r="AI96" s="1">
        <v>0.824872536127844</v>
      </c>
      <c r="AJ96" s="1" t="s">
        <v>46</v>
      </c>
      <c r="AK96" s="1">
        <v>0.811666897270819</v>
      </c>
      <c r="AL96" s="1">
        <v>0.813012841199427</v>
      </c>
      <c r="AM96" s="1">
        <v>0.31790113697392</v>
      </c>
      <c r="AN96" s="1">
        <v>0.62660832841574</v>
      </c>
      <c r="AO96" s="1">
        <v>97</v>
      </c>
    </row>
    <row r="97" s="1" customFormat="1" spans="1:41">
      <c r="A97" s="1" t="s">
        <v>397</v>
      </c>
      <c r="B97" s="1" t="s">
        <v>398</v>
      </c>
      <c r="C97" s="1">
        <v>827.016484</v>
      </c>
      <c r="D97" s="1" t="s">
        <v>399</v>
      </c>
      <c r="E97" s="1" t="s">
        <v>400</v>
      </c>
      <c r="F97" s="1" t="s">
        <v>44</v>
      </c>
      <c r="G97" s="1" t="s">
        <v>45</v>
      </c>
      <c r="H97" s="1">
        <v>8</v>
      </c>
      <c r="I97" s="1">
        <v>64</v>
      </c>
      <c r="J97" s="1">
        <v>63</v>
      </c>
      <c r="K97" s="1">
        <v>98.4375</v>
      </c>
      <c r="L97" s="1">
        <v>54</v>
      </c>
      <c r="M97" s="1">
        <v>84.375</v>
      </c>
      <c r="N97" s="1">
        <v>54</v>
      </c>
      <c r="O97" s="1">
        <v>84.375</v>
      </c>
      <c r="P97" s="1">
        <v>-9.54285185185185</v>
      </c>
      <c r="Q97" s="1">
        <f t="shared" si="2"/>
        <v>-515.314</v>
      </c>
      <c r="R97" s="1">
        <v>-8.9635</v>
      </c>
      <c r="S97" s="1">
        <v>-13.682</v>
      </c>
      <c r="T97" s="1">
        <v>-5.761</v>
      </c>
      <c r="U97" s="1">
        <v>-8.11392592592593</v>
      </c>
      <c r="V97" s="1">
        <v>-7.41</v>
      </c>
      <c r="W97" s="1">
        <v>-8.28048148148148</v>
      </c>
      <c r="X97" s="1">
        <v>-7.5755</v>
      </c>
      <c r="Y97" s="1">
        <v>0.31845772324682</v>
      </c>
      <c r="Z97" s="1">
        <v>0.283394151779224</v>
      </c>
      <c r="AA97" s="1">
        <v>0.576666666666667</v>
      </c>
      <c r="AB97" s="1">
        <v>0.59</v>
      </c>
      <c r="AC97" s="1">
        <v>0.248368007310609</v>
      </c>
      <c r="AD97" s="1">
        <v>0.230344136388897</v>
      </c>
      <c r="AE97" s="1">
        <v>0.741340356637759</v>
      </c>
      <c r="AF97" s="1">
        <v>0.796173178625899</v>
      </c>
      <c r="AG97" s="1">
        <v>0.822919793625929</v>
      </c>
      <c r="AH97" s="1">
        <v>0.784282904649552</v>
      </c>
      <c r="AI97" s="1">
        <v>0.813281017267313</v>
      </c>
      <c r="AJ97" s="1">
        <v>0.789324531337085</v>
      </c>
      <c r="AK97" s="1">
        <v>0.794707982859384</v>
      </c>
      <c r="AL97" s="1">
        <v>0.80944797477111</v>
      </c>
      <c r="AM97" s="1">
        <v>0.318542502560306</v>
      </c>
      <c r="AN97" s="1">
        <v>0.627353909819124</v>
      </c>
      <c r="AO97" s="1">
        <v>98</v>
      </c>
    </row>
    <row r="98" s="1" customFormat="1" spans="1:41">
      <c r="A98" s="1" t="s">
        <v>401</v>
      </c>
      <c r="B98" s="1" t="s">
        <v>402</v>
      </c>
      <c r="C98" s="1">
        <v>495.276032</v>
      </c>
      <c r="D98" s="1" t="s">
        <v>403</v>
      </c>
      <c r="E98" s="1" t="s">
        <v>404</v>
      </c>
      <c r="F98" s="1" t="s">
        <v>44</v>
      </c>
      <c r="G98" s="1" t="s">
        <v>45</v>
      </c>
      <c r="H98" s="1">
        <v>8</v>
      </c>
      <c r="I98" s="1">
        <v>64</v>
      </c>
      <c r="J98" s="1">
        <v>61</v>
      </c>
      <c r="K98" s="1">
        <v>95.3125</v>
      </c>
      <c r="L98" s="1">
        <v>51</v>
      </c>
      <c r="M98" s="1">
        <v>79.6875</v>
      </c>
      <c r="N98" s="1">
        <v>51</v>
      </c>
      <c r="O98" s="1">
        <v>79.6875</v>
      </c>
      <c r="P98" s="1">
        <v>-7.99458823529412</v>
      </c>
      <c r="Q98" s="1">
        <f t="shared" si="2"/>
        <v>-407.724</v>
      </c>
      <c r="R98" s="1">
        <v>-7.913</v>
      </c>
      <c r="S98" s="1">
        <v>-13.265</v>
      </c>
      <c r="T98" s="1">
        <v>-5.064</v>
      </c>
      <c r="U98" s="1">
        <v>-6.3093137254902</v>
      </c>
      <c r="V98" s="1">
        <v>-6.298</v>
      </c>
      <c r="W98" s="1">
        <v>-6.77776470588235</v>
      </c>
      <c r="X98" s="1">
        <v>-6.857</v>
      </c>
      <c r="Y98" s="1">
        <v>0.460753809675371</v>
      </c>
      <c r="Z98" s="1">
        <v>0.45344956988477</v>
      </c>
      <c r="AA98" s="1">
        <v>0.632950819672131</v>
      </c>
      <c r="AB98" s="1">
        <v>0.62</v>
      </c>
      <c r="AC98" s="1">
        <v>0.179133549353978</v>
      </c>
      <c r="AD98" s="1">
        <v>0.179673164363257</v>
      </c>
      <c r="AE98" s="1">
        <v>0.761379416422326</v>
      </c>
      <c r="AF98" s="1">
        <v>0.804568256529326</v>
      </c>
      <c r="AG98" s="1" t="s">
        <v>46</v>
      </c>
      <c r="AH98" s="1">
        <v>0.793415941408534</v>
      </c>
      <c r="AI98" s="1">
        <v>0.820179808707097</v>
      </c>
      <c r="AJ98" s="1" t="s">
        <v>46</v>
      </c>
      <c r="AK98" s="1">
        <v>0.815784724226927</v>
      </c>
      <c r="AL98" s="1">
        <v>0.816478462412409</v>
      </c>
      <c r="AM98" s="1">
        <v>0.362038893781878</v>
      </c>
      <c r="AN98" s="1">
        <v>0.654408657831805</v>
      </c>
      <c r="AO98" s="1">
        <v>99</v>
      </c>
    </row>
    <row r="99" spans="1:41">
      <c r="N99">
        <f>SUM(N2:N98)</f>
        <v>4257</v>
      </c>
      <c r="Q99">
        <f>SUM(Q2:Q98)</f>
        <v>-33437.042</v>
      </c>
    </row>
    <row r="100" spans="1:41">
      <c r="Q100">
        <v>-7.85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叶行健</cp:lastModifiedBy>
  <dcterms:created xsi:type="dcterms:W3CDTF">2023-05-12T11:15:00Z</dcterms:created>
  <dcterms:modified xsi:type="dcterms:W3CDTF">2025-12-13T04:41:46Z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EE8E393F1A534B7D85B1B568B5FBA1D9_12</vt:lpwstr>
  </property>
  <property fmtid="{D5CDD505-2E9C-101B-9397-08002B2CF9AE}" pid="4" name="CalculationRule">
    <vt:i4>0</vt:i4>
  </property>
</Properties>
</file>