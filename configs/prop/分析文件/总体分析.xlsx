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definedNames>
    <definedName name="_xlnm._FilterDatabase" localSheetId="0" hidden="1">Sheet1!$X$1:$X$41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<sst xmlns="http://schemas.openxmlformats.org/spreadsheetml/2006/main" count="580" uniqueCount="420">
  <si>
    <t>文件名</t>
  </si>
  <si>
    <t>权重策略</t>
  </si>
  <si>
    <t>下降速率</t>
  </si>
  <si>
    <t>开始权重</t>
  </si>
  <si>
    <t>结束权重</t>
  </si>
  <si>
    <r>
      <rPr>
        <sz val="12"/>
        <color rgb="FF000000"/>
        <rFont val="Microsoft YaHei"/>
        <charset val="134"/>
      </rPr>
      <t>时间长度</t>
    </r>
    <r>
      <rPr>
        <sz val="12"/>
        <color rgb="FF000000"/>
        <rFont val="Arial"/>
        <charset val="134"/>
      </rPr>
      <t xml:space="preserve"> (TL)</t>
    </r>
  </si>
  <si>
    <t>LSstepsize</t>
  </si>
  <si>
    <t>LSnosie</t>
  </si>
  <si>
    <t>LSLambda1</t>
  </si>
  <si>
    <t>LSLambda2</t>
  </si>
  <si>
    <t>RFstepsize</t>
  </si>
  <si>
    <t>RFnosie</t>
  </si>
  <si>
    <t>RFLambda1</t>
  </si>
  <si>
    <t>RFLambda2</t>
  </si>
  <si>
    <t>步数</t>
  </si>
  <si>
    <t>取模步长</t>
  </si>
  <si>
    <r>
      <rPr>
        <sz val="12"/>
        <color rgb="FF000000"/>
        <rFont val="Microsoft YaHei"/>
        <charset val="134"/>
      </rPr>
      <t>可重建率</t>
    </r>
    <r>
      <rPr>
        <sz val="12"/>
        <color rgb="FF000000"/>
        <rFont val="Arial"/>
        <charset val="134"/>
      </rPr>
      <t xml:space="preserve"> (%)</t>
    </r>
  </si>
  <si>
    <r>
      <rPr>
        <sz val="12"/>
        <color rgb="FF000000"/>
        <rFont val="Microsoft YaHei"/>
        <charset val="134"/>
      </rPr>
      <t>对接成功率</t>
    </r>
    <r>
      <rPr>
        <sz val="12"/>
        <color rgb="FF000000"/>
        <rFont val="Arial"/>
        <charset val="134"/>
      </rPr>
      <t xml:space="preserve"> (%)</t>
    </r>
  </si>
  <si>
    <r>
      <rPr>
        <sz val="12"/>
        <color rgb="FF000000"/>
        <rFont val="Arial"/>
        <charset val="134"/>
      </rPr>
      <t xml:space="preserve">Vina_Dock </t>
    </r>
    <r>
      <rPr>
        <sz val="12"/>
        <color rgb="FF000000"/>
        <rFont val="Microsoft YaHei"/>
        <charset val="134"/>
      </rPr>
      <t>亲和力</t>
    </r>
  </si>
  <si>
    <t>Vina_ScoreOnly</t>
  </si>
  <si>
    <t>Vina_Minimize</t>
  </si>
  <si>
    <r>
      <rPr>
        <sz val="12"/>
        <color rgb="FF000000"/>
        <rFont val="Arial"/>
        <charset val="134"/>
      </rPr>
      <t xml:space="preserve">QED </t>
    </r>
    <r>
      <rPr>
        <sz val="12"/>
        <color rgb="FF000000"/>
        <rFont val="Microsoft YaHei"/>
        <charset val="134"/>
      </rPr>
      <t>评分（均值）</t>
    </r>
  </si>
  <si>
    <r>
      <rPr>
        <sz val="12"/>
        <color rgb="FF000000"/>
        <rFont val="Arial"/>
        <charset val="134"/>
      </rPr>
      <t xml:space="preserve">SA </t>
    </r>
    <r>
      <rPr>
        <sz val="12"/>
        <color rgb="FF000000"/>
        <rFont val="Microsoft YaHei"/>
        <charset val="134"/>
      </rPr>
      <t>评分（均值）</t>
    </r>
  </si>
  <si>
    <t>模型评分</t>
  </si>
  <si>
    <t>batch_evaluation_summary_20251224_161650_gfquadratic_1_0_tl750_lslambda_40p0_20p0_rflambda_20p0_2p0.xlsx</t>
  </si>
  <si>
    <t>quadratic</t>
  </si>
  <si>
    <t>batch_evaluation_summary_20251224_165406_gfquadratic_1_0_tl750_lslambda_20p0_10p0_rflambda_10p0_2p0.xlsx</t>
  </si>
  <si>
    <t>batch_evaluation_summary_20251224_172655_gfquadratic_1_0_tl400_lslambda_80p0_10p0_rflambda_10p0_5p0.xlsx</t>
  </si>
  <si>
    <t>batch_evaluation_summary_20251224_181012_gfquadratic_1_0_tl300_lslambda_80p0_10p0_rflambda_10p0_5p0.xlsx</t>
  </si>
  <si>
    <t>-8.060</t>
  </si>
  <si>
    <t>-6.068</t>
  </si>
  <si>
    <t>-6.653</t>
  </si>
  <si>
    <t>0.477</t>
  </si>
  <si>
    <t>0.640</t>
  </si>
  <si>
    <t>batch_evaluation_summary_20251225_062219_gfquadratic_1_0_tl300_lslambda_80p0_20p0_rflambda_20p0_5p0.xlsx</t>
  </si>
  <si>
    <t>batch_evaluation_summary_20251225_071511_gfquadratic_1_0_tl150_lslambda_80p0_20p0_rflambda_5p0_5p0.xlsx</t>
  </si>
  <si>
    <t>batch_evaluation_summary_20251225_074455_gfquadratic_1_0_tl750_lslambda_80p0_20p0_rflambda_10p0_5p0.xlsx</t>
  </si>
  <si>
    <t>batch_evaluation_summary_20251225_080646_gfquadratic_1_0_tl750_lslambda_40p0_20p0_rflambda_10p0_5p0.xlsx</t>
  </si>
  <si>
    <t>-8.003</t>
  </si>
  <si>
    <t>-2.544</t>
  </si>
  <si>
    <t>-5.906</t>
  </si>
  <si>
    <t>0.523</t>
  </si>
  <si>
    <t>0.602</t>
  </si>
  <si>
    <t>batch_evaluation_summary_20251225_091336_gfquadratic_1_0_tl750_lslambda_80p0_20p0_rflambda_40p0_5p0.xlsx</t>
  </si>
  <si>
    <t>-8.241</t>
  </si>
  <si>
    <t>-4.223</t>
  </si>
  <si>
    <t>-6.591</t>
  </si>
  <si>
    <t>0.521</t>
  </si>
  <si>
    <t>0.594</t>
  </si>
  <si>
    <t>batch_evaluation_summary_20251225_100217_gfquadratic_1_0_tl750_lslambda_80p0_20p0_rflambda_40p0_5p0.xlsx</t>
  </si>
  <si>
    <t>-8.264</t>
  </si>
  <si>
    <t>-4.040</t>
  </si>
  <si>
    <t>-6.418</t>
  </si>
  <si>
    <t>0.520</t>
  </si>
  <si>
    <t>0.587</t>
  </si>
  <si>
    <t>batch_evaluation_summary_20251225_112123_gfquadratic_1_0_tl750_lslambda_80p0_20p0_rflambda_10p0_5p0.xlsx</t>
  </si>
  <si>
    <t>batch_evaluation_summary_20251225_124152_gfquadratic_1_0_tl750_lslambda_80p0_20p0_lsstep_0p6_lsnoise_0p0_rflambda_10p0_5p0_rfstep_0p4_rfnoise_0p0.xlsx</t>
  </si>
  <si>
    <t>-8.341</t>
  </si>
  <si>
    <t>-3.895</t>
  </si>
  <si>
    <t>-6.545</t>
  </si>
  <si>
    <t>0.517</t>
  </si>
  <si>
    <t>0.592</t>
  </si>
  <si>
    <t>batch_evaluation_summary_20251225_141919_gfquadratic_1_0_tl750_lslambda_80p0_20p0_lsstep_1p0_lsnoise_0p0_rflambda_10p0_5p0_rfstep_0p1_rfnoise_0p1.xlsx</t>
  </si>
  <si>
    <t>0.47610557856563</t>
  </si>
  <si>
    <t>0.59481069042316</t>
  </si>
  <si>
    <t>batch_evaluation_summary_20251225_151200_gfquadratic_1_0_tl750_lslambda_80p0_20p0_lsstep_0p6_lsnoise_0p0_rflambda_12p0_2p0_rfstep_0p1_rfnoise_0p1.xlsx</t>
  </si>
  <si>
    <t>-7.993</t>
  </si>
  <si>
    <t>-3.399</t>
  </si>
  <si>
    <t>-5.813</t>
  </si>
  <si>
    <t>0.595</t>
  </si>
  <si>
    <t>batch_evaluation_summary_20251226_033659_gfquadratic_1_0_tl750_lslambda_80p0_20p0_lsstep_0p6_lsnoise_0p0_rflambda_40p0_5p0_rfstep_0p4_rfnoise_0p05</t>
  </si>
  <si>
    <t>-8.252</t>
  </si>
  <si>
    <t>-4.161</t>
  </si>
  <si>
    <t>-6.410</t>
  </si>
  <si>
    <t>0.518</t>
  </si>
  <si>
    <t>0.598</t>
  </si>
  <si>
    <t>batch_evaluation_summary_20251226_094828_gfquadratic_1_0_tl700_lslambda_50p0_20p0_lsstep_0p7_lsnoise_0p0_rflambda_10p0_5p0_rfstep_0p4_rfnoise_0p08</t>
  </si>
  <si>
    <t>700</t>
  </si>
  <si>
    <t>0.7</t>
  </si>
  <si>
    <t>94</t>
  </si>
  <si>
    <t>39.8</t>
  </si>
  <si>
    <t>0.4997766648103</t>
  </si>
  <si>
    <t>0.61219418960245</t>
  </si>
  <si>
    <t>batch_evaluation_summary_20251226_103804_gfquadratic_1_0_tl700_lslambda_80p0_20p0_lsstep_0p5_lsnoise_0p0_rflambda_30p0_5p0_rfstep_0p3_rfnoise_0p08</t>
  </si>
  <si>
    <t>batch_evaluation_summary_20251226_115502_gfquadratic_1_0_tl600_lslambda_60p0_10p0_lsstep_0p4_lsnoise_0p0_rflambda_10p0_2p0_rfstep_0p15_rfnoise_0p05</t>
  </si>
  <si>
    <t>batch_evaluation_summary_20251226_130150_gfquadratic_1_0_tl600_lslambda_60p0_20p0_lsstep_0p6_lsnoise_0p0_rflambda_20p0_5p0_rfstep_0p4_rfnoise_0p05</t>
  </si>
  <si>
    <t>68</t>
  </si>
  <si>
    <t>29.0</t>
  </si>
  <si>
    <t>99.88</t>
  </si>
  <si>
    <t>85.62</t>
  </si>
  <si>
    <t>-8.236</t>
  </si>
  <si>
    <t>-4.127</t>
  </si>
  <si>
    <t>-6.327</t>
  </si>
  <si>
    <t>0.498</t>
  </si>
  <si>
    <t>0.614</t>
  </si>
  <si>
    <t>batch_evaluation_summary_20260101_222228_gfquadratic_1_0_tl750_lslambda_25p0_18p0_lsstep_0p45_lsnoise_0p0_rflambda_18p0_4p0_rfstep_0p25_rfnoise_0p05</t>
  </si>
  <si>
    <t>90</t>
  </si>
  <si>
    <t>24.35</t>
  </si>
  <si>
    <t>99.56</t>
  </si>
  <si>
    <t>87.88</t>
  </si>
  <si>
    <t>-8.106</t>
  </si>
  <si>
    <t>-2.999</t>
  </si>
  <si>
    <t>-6.183</t>
  </si>
  <si>
    <t>0.607</t>
  </si>
  <si>
    <t>batch_evaluation_summary_20260102_200138_gfquadratic_1_0_tl500_lslambda_40p0_20p0_lsstep_0p4_lsnoise_0p0_rflambda_10p0_5p0_rfstep_0p2_rfnoise_0p05</t>
  </si>
  <si>
    <t>81</t>
  </si>
  <si>
    <t>18.6</t>
  </si>
  <si>
    <t>99.62</t>
  </si>
  <si>
    <t>86.94</t>
  </si>
  <si>
    <t>-8.181</t>
  </si>
  <si>
    <t>-3.933</t>
  </si>
  <si>
    <t>-6.456</t>
  </si>
  <si>
    <t>0.513</t>
  </si>
  <si>
    <t>0.624</t>
  </si>
  <si>
    <t>batch_evaluation_summary_20260102_211346_gfquadratic_1_0_tl500_lslambda_40p0_20p0_lsstep_0p6_lsnoise_0p0_rflambda_30p0_5p0_rfstep_0p4_rfnoise_0p05</t>
  </si>
  <si>
    <t>57</t>
  </si>
  <si>
    <t>25.4</t>
  </si>
  <si>
    <t>99.75</t>
  </si>
  <si>
    <t>84.81</t>
  </si>
  <si>
    <t>-8.185</t>
  </si>
  <si>
    <t>-4.037</t>
  </si>
  <si>
    <t>-6.065</t>
  </si>
  <si>
    <t>0.483</t>
  </si>
  <si>
    <t>0.639</t>
  </si>
  <si>
    <t>batch_evaluation_summary_20260102_221813_gfquadratic_1_0_tl500_lslambda_40p0_20p0_lsstep_0p6_lsnoise_0p0_rflambda_10p0_5p0_rfstep_0p25_rfnoise_0p05</t>
  </si>
  <si>
    <t>83.94</t>
  </si>
  <si>
    <t>-7.983</t>
  </si>
  <si>
    <t>-3.570</t>
  </si>
  <si>
    <t>-5.854</t>
  </si>
  <si>
    <t>0.503</t>
  </si>
  <si>
    <t>0.642</t>
  </si>
  <si>
    <t>batch_evaluation_summary_20260102_233451_gfquadratic_1_0_tl500_lslambda_60p0_20p0_lsstep_0p5_lsnoise_0p0_rflambda_10p0_5p0_rfstep_0p3_rfnoise_0p05</t>
  </si>
  <si>
    <t>79</t>
  </si>
  <si>
    <t>25.8</t>
  </si>
  <si>
    <t>86.50</t>
  </si>
  <si>
    <t>-8.117</t>
  </si>
  <si>
    <t>-3.437</t>
  </si>
  <si>
    <t>-6.167</t>
  </si>
  <si>
    <t>0.506</t>
  </si>
  <si>
    <t>0.622</t>
  </si>
  <si>
    <t>batch_evaluation_summary_20260103_004810_gfquadratic_1_0_tl500_lslambda_40p0_20p0_lsstep_0p4_lsnoise_0p0_rflambda_10p0_5p0_rfstep_0p4_rfnoise_0p05</t>
  </si>
  <si>
    <t>32.800000000000004</t>
  </si>
  <si>
    <t>99.81</t>
  </si>
  <si>
    <t>84.44</t>
  </si>
  <si>
    <t>-8.166</t>
  </si>
  <si>
    <t>-3.867</t>
  </si>
  <si>
    <t>-6.198</t>
  </si>
  <si>
    <t>0.501</t>
  </si>
  <si>
    <t>0.615</t>
  </si>
  <si>
    <t>batch_evaluation_summary_20260103_020121_gfquadratic_1_0_tl500_lslambda_40p0_20p0_lsstep_0p6_lsnoise_0p0_rflambda_10p0_5p0_rfstep_0p4_rfnoise_0p05</t>
  </si>
  <si>
    <t>35.0</t>
  </si>
  <si>
    <t>81.62</t>
  </si>
  <si>
    <t>-8.173</t>
  </si>
  <si>
    <t>-3.526</t>
  </si>
  <si>
    <t>-5.807</t>
  </si>
  <si>
    <t>0.487</t>
  </si>
  <si>
    <t>0.633</t>
  </si>
  <si>
    <t>batch_evaluation_summary_20260103_031710_gfquadratic_1_0_tl550_lslambda_60p0_20p0_lsstep_0p3_lsnoise_0p0_rflambda_10p0_5p0_rfstep_0p2_rfnoise_0p05</t>
  </si>
  <si>
    <t>83</t>
  </si>
  <si>
    <t>17.6</t>
  </si>
  <si>
    <t>89.88</t>
  </si>
  <si>
    <t>-8.112</t>
  </si>
  <si>
    <t>-3.348</t>
  </si>
  <si>
    <t>-6.028</t>
  </si>
  <si>
    <t>0.606</t>
  </si>
  <si>
    <t>batch_evaluation_summary_20260103_043232_gfquadratic_1_0_tl550_lslambda_60p0_20p0_lsstep_0p6_lsnoise_0p0_rflambda_30p0_5p0_rfstep_0p4_rfnoise_0p05</t>
  </si>
  <si>
    <t>24.8</t>
  </si>
  <si>
    <t>85.88</t>
  </si>
  <si>
    <t>-8.224</t>
  </si>
  <si>
    <t>-6.408</t>
  </si>
  <si>
    <t>0.500</t>
  </si>
  <si>
    <t>batch_evaluation_summary_20260103_070003_gfquadratic_1_0_tl550_lslambda_80p0_20p0_lsstep_0p5_lsnoise_0p0_rflambda_10p0_5p0_rfstep_0p25_rfnoise_0p05</t>
  </si>
  <si>
    <t>82</t>
  </si>
  <si>
    <t>22.5</t>
  </si>
  <si>
    <t>86.31</t>
  </si>
  <si>
    <t>-8.071</t>
  </si>
  <si>
    <t>-3.305</t>
  </si>
  <si>
    <t>-6.008</t>
  </si>
  <si>
    <t>0.616</t>
  </si>
  <si>
    <t>batch_evaluation_summary_20260103_085902_gfquadratic_1_0_tl550_lslambda_40p0_20p0_lsstep_0p4_lsnoise_0p0_rflambda_10p0_5p0_rfstep_0p25_rfnoise_0p05</t>
  </si>
  <si>
    <t>85</t>
  </si>
  <si>
    <t>23.0</t>
  </si>
  <si>
    <t>86.81</t>
  </si>
  <si>
    <t>-8.038</t>
  </si>
  <si>
    <t>-3.515</t>
  </si>
  <si>
    <t>-6.081</t>
  </si>
  <si>
    <t>0.515</t>
  </si>
  <si>
    <t>batch_evaluation_summary_20260103_101448_gfquadratic_1_0_tl550_lslambda_40p0_20p0_lsstep_0p4_lsnoise_0p0_rflambda_10p0_5p0_rfstep_0p4_rfnoise_0p05</t>
  </si>
  <si>
    <t>34.400000000000006</t>
  </si>
  <si>
    <t>83.56</t>
  </si>
  <si>
    <t>-3.480</t>
  </si>
  <si>
    <t>-6.059</t>
  </si>
  <si>
    <t>0.502</t>
  </si>
  <si>
    <t>0.619</t>
  </si>
  <si>
    <t>batch_evaluation_summary_20260103_113347_gfquadratic_1_0_tl600_lslambda_40p0_20p0_lsstep_0p3_lsnoise_0p0_rflambda_30p0_5p0_rfstep_0p4_rfnoise_0p05</t>
  </si>
  <si>
    <t>60</t>
  </si>
  <si>
    <t>23.5</t>
  </si>
  <si>
    <t>99.69</t>
  </si>
  <si>
    <t>88.50</t>
  </si>
  <si>
    <t>-8.328</t>
  </si>
  <si>
    <t>-3.852</t>
  </si>
  <si>
    <t>-6.386</t>
  </si>
  <si>
    <t>0.509</t>
  </si>
  <si>
    <t>0.599</t>
  </si>
  <si>
    <t>batch_evaluation_summary_20260103_124004_gfquadratic_1_0_tl600_lslambda_80p0_20p0_lsstep_0p3_lsnoise_0p0_rflambda_10p0_5p0_rfstep_0p2_rfnoise_0p05</t>
  </si>
  <si>
    <t>17.8</t>
  </si>
  <si>
    <t>89.75</t>
  </si>
  <si>
    <t>-8.046</t>
  </si>
  <si>
    <t>-2.900</t>
  </si>
  <si>
    <t>-5.988</t>
  </si>
  <si>
    <t>0.526</t>
  </si>
  <si>
    <t>0.603</t>
  </si>
  <si>
    <t>batch_evaluation_summary_20260103_140321_gfquadratic_1_0_tl600_lslambda_60p0_20p0_lsstep_0p3_lsnoise_0p0_rflambda_20p0_5p0_rfstep_0p4_rfnoise_0p05</t>
  </si>
  <si>
    <t>26.900000000000002</t>
  </si>
  <si>
    <t>86.56</t>
  </si>
  <si>
    <t>-8.288</t>
  </si>
  <si>
    <t>-3.494</t>
  </si>
  <si>
    <t>-6.103</t>
  </si>
  <si>
    <t>0.508</t>
  </si>
  <si>
    <t>0.600</t>
  </si>
  <si>
    <t>batch_evaluation_summary_20260103_151010_gfquadratic_1_0_tl600_lslambda_40p0_20p0_lsstep_0p5_lsnoise_0p0_rflambda_20p0_5p0_rfstep_0p35_rfnoise_0p05</t>
  </si>
  <si>
    <t>70</t>
  </si>
  <si>
    <t>26.2</t>
  </si>
  <si>
    <t>99.38</t>
  </si>
  <si>
    <t>86.62</t>
  </si>
  <si>
    <t>-3.842</t>
  </si>
  <si>
    <t>-6.222</t>
  </si>
  <si>
    <t>batch_evaluation_summary_20260103_162223_gfquadratic_1_0_tl600_lslambda_40p0_20p0_lsstep_0p4_lsnoise_0p0_rflambda_10p0_5p0_rfstep_0p35_rfnoise_0p05</t>
  </si>
  <si>
    <t>88</t>
  </si>
  <si>
    <t>31.6</t>
  </si>
  <si>
    <t>86.00</t>
  </si>
  <si>
    <t>-8.174</t>
  </si>
  <si>
    <t>-3.278</t>
  </si>
  <si>
    <t>-6.094</t>
  </si>
  <si>
    <t>0.510</t>
  </si>
  <si>
    <t>0.613</t>
  </si>
  <si>
    <t>batch_evaluation_summary_20260103_173923_gfquadratic_1_0_tl600_lslambda_40p0_20p0_lsstep_0p5_lsnoise_0p0_rflambda_10p0_5p0_rfstep_0p35_rfnoise_0p05</t>
  </si>
  <si>
    <t>32.5</t>
  </si>
  <si>
    <t>85.06</t>
  </si>
  <si>
    <t>-8.098</t>
  </si>
  <si>
    <t>-3.016</t>
  </si>
  <si>
    <t>-5.987</t>
  </si>
  <si>
    <t>0.505</t>
  </si>
  <si>
    <t>batch_evaluation_summary_20260103_185704_gfquadratic_1_0_tl650_lslambda_80p0_20p0_lsstep_0p3_lsnoise_0p0_rflambda_30p0_5p0_rfstep_0p4_rfnoise_0p05</t>
  </si>
  <si>
    <t>58</t>
  </si>
  <si>
    <t>23.1</t>
  </si>
  <si>
    <t>99.94</t>
  </si>
  <si>
    <t>88.38</t>
  </si>
  <si>
    <t>-8.167</t>
  </si>
  <si>
    <t>-3.191</t>
  </si>
  <si>
    <t>-5.840</t>
  </si>
  <si>
    <t>batch_evaluation_summary_20260103_200338_gfquadratic_1_0_tl650_lslambda_40p0_20p0_lsstep_0p4_lsnoise_0p0_rflambda_10p0_5p0_rfstep_0p15_rfnoise_0p05</t>
  </si>
  <si>
    <t>92</t>
  </si>
  <si>
    <t>15.95</t>
  </si>
  <si>
    <t>87.56</t>
  </si>
  <si>
    <t>-8.109</t>
  </si>
  <si>
    <t>-3.176</t>
  </si>
  <si>
    <t>-5.922</t>
  </si>
  <si>
    <t>0.527</t>
  </si>
  <si>
    <t>0.611</t>
  </si>
  <si>
    <t>batch_evaluation_summary_20260103_215040_gfquadratic_1_0_tl650_lslambda_40p0_20p0_lsstep_0p6_lsnoise_0p0_rflambda_30p0_5p0_rfstep_0p4_rfnoise_0p05</t>
  </si>
  <si>
    <t>61</t>
  </si>
  <si>
    <t>26.400000000000002</t>
  </si>
  <si>
    <t>-8.240</t>
  </si>
  <si>
    <t>-3.956</t>
  </si>
  <si>
    <t>-6.196</t>
  </si>
  <si>
    <t>0.495</t>
  </si>
  <si>
    <t>batch_evaluation_summary_20260103_231622_gfquadratic_1_0_tl650_lslambda_40p0_20p0_lsstep_0p6_lsnoise_0p0_rflambda_20p0_5p0_rfstep_0p3_rfnoise_0p05</t>
  </si>
  <si>
    <t>72</t>
  </si>
  <si>
    <t>24.3</t>
  </si>
  <si>
    <t>87.75</t>
  </si>
  <si>
    <t>-8.160</t>
  </si>
  <si>
    <t>-3.768</t>
  </si>
  <si>
    <t>-6.134</t>
  </si>
  <si>
    <t>0.512</t>
  </si>
  <si>
    <t>batch_evaluation_summary_20260104_004614_gfquadratic_1_0_tl650_lslambda_80p0_20p0_lsstep_0p4_lsnoise_0p0_rflambda_10p0_5p0_rfstep_0p35_rfnoise_0p05</t>
  </si>
  <si>
    <t>89</t>
  </si>
  <si>
    <t>31.749999999999996</t>
  </si>
  <si>
    <t>99.44</t>
  </si>
  <si>
    <t>84.38</t>
  </si>
  <si>
    <t>-8.148</t>
  </si>
  <si>
    <t>-2.799</t>
  </si>
  <si>
    <t>-5.721</t>
  </si>
  <si>
    <t>0.519</t>
  </si>
  <si>
    <t>batch_evaluation_summary_20260104_022056_gfquadratic_1_0_tl650_lslambda_40p0_20p0_lsstep_0p6_lsnoise_0p0_rflambda_10p0_5p0_rfstep_0p3_rfnoise_0p05</t>
  </si>
  <si>
    <t>30.3</t>
  </si>
  <si>
    <t>99.50</t>
  </si>
  <si>
    <t>85.81</t>
  </si>
  <si>
    <t>-8.108</t>
  </si>
  <si>
    <t>-3.381</t>
  </si>
  <si>
    <t>-5.999</t>
  </si>
  <si>
    <t>0.620</t>
  </si>
  <si>
    <t>batch_evaluation_summary_20260104_035907_gfquadratic_1_0_tl700_lslambda_60p0_20p0_lsstep_0p6_lsnoise_0p0_rflambda_40p0_5p0_rfstep_0p35_rfnoise_0p05</t>
  </si>
  <si>
    <t>53</t>
  </si>
  <si>
    <t>20.4</t>
  </si>
  <si>
    <t>89.25</t>
  </si>
  <si>
    <t>-8.306</t>
  </si>
  <si>
    <t>-4.090</t>
  </si>
  <si>
    <t>-6.445</t>
  </si>
  <si>
    <t>0.511</t>
  </si>
  <si>
    <t>0.601</t>
  </si>
  <si>
    <t>batch_evaluation_summary_20260104_050102_gfquadratic_1_0_tl700_lslambda_60p0_20p0_lsstep_0p3_lsnoise_0p0_rflambda_10p0_5p0_rfstep_0p15_rfnoise_0p05</t>
  </si>
  <si>
    <t>15.149999999999999</t>
  </si>
  <si>
    <t>-8.111</t>
  </si>
  <si>
    <t>-2.488</t>
  </si>
  <si>
    <t>-5.909</t>
  </si>
  <si>
    <t>0.529</t>
  </si>
  <si>
    <t>batch_evaluation_summary_20260104_063546_gfquadratic_1_0_tl700_lslambda_40p0_20p0_lsstep_0p6_lsnoise_0p0_rflambda_30p0_5p0_rfstep_0p35_rfnoise_0p05</t>
  </si>
  <si>
    <t>62</t>
  </si>
  <si>
    <t>23.799999999999997</t>
  </si>
  <si>
    <t>-3.663</t>
  </si>
  <si>
    <t>-6.181</t>
  </si>
  <si>
    <t>batch_evaluation_summary_20260104_075718_gfquadratic_1_0_tl700_lslambda_60p0_20p0_lsstep_0p3_lsnoise_0p0_rflambda_20p0_5p0_rfstep_0p35_rfnoise_0p05</t>
  </si>
  <si>
    <t>73</t>
  </si>
  <si>
    <t>25.599999999999998</t>
  </si>
  <si>
    <t>88.19</t>
  </si>
  <si>
    <t>-8.182</t>
  </si>
  <si>
    <t>-3.201</t>
  </si>
  <si>
    <t>-6.141</t>
  </si>
  <si>
    <t>0.590</t>
  </si>
  <si>
    <t>batch_evaluation_summary_20260104_090834_gfquadratic_1_0_tl700_lslambda_40p0_20p0_lsstep_0p4_lsnoise_0p0_rflambda_10p0_5p0_rfstep_0p3_rfnoise_0p05</t>
  </si>
  <si>
    <t>95</t>
  </si>
  <si>
    <t>29.5</t>
  </si>
  <si>
    <t>85.38</t>
  </si>
  <si>
    <t>-8.102</t>
  </si>
  <si>
    <t>-2.599</t>
  </si>
  <si>
    <t>-5.833</t>
  </si>
  <si>
    <t>0.608</t>
  </si>
  <si>
    <t>batch_evaluation_summary_20260104_102733_gfquadratic_1_0_tl750_lslambda_40p0_20p0_lsstep_0p6_lsnoise_0p0_rflambda_40p0_5p0_rfstep_0p25_rfnoise_0p05</t>
  </si>
  <si>
    <t>54</t>
  </si>
  <si>
    <t>15.85</t>
  </si>
  <si>
    <t>89.62</t>
  </si>
  <si>
    <t>-8.140</t>
  </si>
  <si>
    <t>-3.881</t>
  </si>
  <si>
    <t>-6.415</t>
  </si>
  <si>
    <t>0.522</t>
  </si>
  <si>
    <t>batch_evaluation_summary_20260104_114356_gfquadratic_1_0_tl750_lslambda_80p0_20p0_lsstep_0p3_lsnoise_0p0_rflambda_10p0_5p0_rfstep_0p15_rfnoise_0p05</t>
  </si>
  <si>
    <t>96</t>
  </si>
  <si>
    <t>87.94</t>
  </si>
  <si>
    <t>-8.070</t>
  </si>
  <si>
    <t>-2.080</t>
  </si>
  <si>
    <t>-5.790</t>
  </si>
  <si>
    <t>batch_evaluation_summary_20260104_130514_gfquadratic_1_0_tl750_lslambda_40p0_20p0_lsstep_0p6_lsnoise_0p0_rflambda_40p0_5p0_rfstep_0p4_rfnoise_0p05</t>
  </si>
  <si>
    <t>23.200000000000003</t>
  </si>
  <si>
    <t>88.25</t>
  </si>
  <si>
    <t>-8.293</t>
  </si>
  <si>
    <t>-3.921</t>
  </si>
  <si>
    <t>-6.359</t>
  </si>
  <si>
    <t>batch_evaluation_summary_20260104_140549_gfquadratic_1_0_tl750_lslambda_60p0_20p0_lsstep_0p5_lsnoise_0p0_rflambda_30p0_5p0_rfstep_0p4_rfnoise_0p05</t>
  </si>
  <si>
    <t>25.700000000000003</t>
  </si>
  <si>
    <t>86.88</t>
  </si>
  <si>
    <t>-8.209</t>
  </si>
  <si>
    <t>-3.578</t>
  </si>
  <si>
    <t>-6.272</t>
  </si>
  <si>
    <t>0.516</t>
  </si>
  <si>
    <t>0.597</t>
  </si>
  <si>
    <t>batch_evaluation_summary_20260104_150924_gfquadratic_1_0_tl750_lslambda_80p0_20p0_lsstep_0p4_lsnoise_0p0_rflambda_10p0_5p0_rfstep_0p3_rfnoise_0p05</t>
  </si>
  <si>
    <t>85.44</t>
  </si>
  <si>
    <t>-7.987</t>
  </si>
  <si>
    <t>-2.368</t>
  </si>
  <si>
    <t>-5.627</t>
  </si>
  <si>
    <t>0.525</t>
  </si>
  <si>
    <t>batch_evaluation_summary_20260104_162719_gfquadratic_1_0_tl750_lslambda_40p0_20p0_lsstep_0p6_lsnoise_0p0_rflambda_10p0_5p0_rfstep_0p25_rfnoise_0p05</t>
  </si>
  <si>
    <t>98</t>
  </si>
  <si>
    <t>26.85</t>
  </si>
  <si>
    <t>-8.001</t>
  </si>
  <si>
    <t>-2.314</t>
  </si>
  <si>
    <t>-5.648</t>
  </si>
  <si>
    <t>0.534</t>
  </si>
  <si>
    <t>0.612</t>
  </si>
  <si>
    <t>batch_evaluation_summary_20260104_174646_gfquadratic_1_0_tl800_lslambda_80p0_20p0_lsstep_0p6_lsnoise_0p0_rflambda_30p0_5p0_rfstep_0p25_rfnoise_0p05</t>
  </si>
  <si>
    <t>17.15</t>
  </si>
  <si>
    <t>90.94</t>
  </si>
  <si>
    <t>-3.246</t>
  </si>
  <si>
    <t>-6.177</t>
  </si>
  <si>
    <t>0.591</t>
  </si>
  <si>
    <t>batch_evaluation_summary_20260104_185353_gfquadratic_1_0_tl800_lslambda_80p0_20p0_lsstep_0p3_lsnoise_0p0_rflambda_10p0_5p0_rfstep_0p15_rfnoise_0p05</t>
  </si>
  <si>
    <t>100</t>
  </si>
  <si>
    <t>15.749999999999998</t>
  </si>
  <si>
    <t>88.44</t>
  </si>
  <si>
    <t>-8.008</t>
  </si>
  <si>
    <t>-1.844</t>
  </si>
  <si>
    <t>-5.675</t>
  </si>
  <si>
    <t>batch_evaluation_summary_20260104_202212_gfquadratic_1_0_tl800_lslambda_60p0_20p0_lsstep_0p3_lsnoise_0p0_rflambda_20p0_5p0_rfstep_0p3_rfnoise_0p05</t>
  </si>
  <si>
    <t>76</t>
  </si>
  <si>
    <t>23.099999999999998</t>
  </si>
  <si>
    <t>-8.099</t>
  </si>
  <si>
    <t>-2.514</t>
  </si>
  <si>
    <t>-5.796</t>
  </si>
  <si>
    <t>0.585</t>
  </si>
  <si>
    <t>batch_evaluation_summary_20260104_213325_gfquadratic_1_0_tl800_lslambda_60p0_20p0_lsstep_0p6_lsnoise_0p0_rflambda_10p0_5p0_rfstep_0p15_rfnoise_0p05</t>
  </si>
  <si>
    <t>16.95</t>
  </si>
  <si>
    <t>89.12</t>
  </si>
  <si>
    <t>-8.083</t>
  </si>
  <si>
    <t>-2.618</t>
  </si>
  <si>
    <t>-5.921</t>
  </si>
  <si>
    <t>0.531</t>
  </si>
  <si>
    <t>batch_evaluation_summary_20260104_225423_gfquadratic_1_0_tl800_lslambda_40p0_20p0_lsstep_0p4_lsnoise_0p0_rflambda_10p0_5p0_rfstep_0p25_rfnoise_0p05</t>
  </si>
  <si>
    <t>101</t>
  </si>
  <si>
    <t>26.25</t>
  </si>
  <si>
    <t>87.06</t>
  </si>
  <si>
    <t>-8.050</t>
  </si>
  <si>
    <t>-2.351</t>
  </si>
  <si>
    <t>-5.761</t>
  </si>
  <si>
    <t>batch_evaluation_summary_20260105_002424_gfquadratic_1_0_tl800_lslambda_60p0_20p0_lsstep_0p6_lsnoise_0p0_rflambda_10p0_5p0_rfstep_0p25_rfnoise_0p05</t>
  </si>
  <si>
    <t>26.65</t>
  </si>
  <si>
    <t>87.81</t>
  </si>
  <si>
    <t>-2.597</t>
  </si>
  <si>
    <t>-5.856</t>
  </si>
  <si>
    <t>0.536</t>
  </si>
  <si>
    <t xml:space="preserve">eval_gfquadratic_1_0_tl500_lslambda_80p0_20p0_rflambda_40p0_5p0.xlsx </t>
  </si>
  <si>
    <t>0.2800096026341</t>
  </si>
  <si>
    <t>0.63718951888129</t>
  </si>
  <si>
    <t>eval_gfquadratic_1_0_tl550_lslambda_80p0_20p0_rflambda_40p0_5p0.xlsx</t>
  </si>
  <si>
    <t>eval_gfquadratic_1_0_tl600_lslambda_80p0_20p0_rflambda_40p0_5p0.xlsx</t>
  </si>
  <si>
    <t>eval_gfquadratic_1_0_tl650_lslambda_80p0_20p0_rflambda_40p0_5p0.xlsx</t>
  </si>
  <si>
    <t>eval_gfquadratic_1_0_tl700_lslambda_80p0_20p0_rflambda_40p0_5p0.xlsx</t>
  </si>
  <si>
    <t>targetdiff数据 750</t>
  </si>
  <si>
    <t>0.45340294689428</t>
  </si>
  <si>
    <t>0.59286220533583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</si>
</sst>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00000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ajor"/>
    </font>
    <font>
      <sz val="12"/>
      <color rgb="FF000000"/>
      <name val="Segoe UI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0" xfId="0" applyFont="1" applyFill="1" applyAlignment="1"/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6" fillId="0" borderId="0" xfId="0" applyFont="1" applyFill="1" applyAlignment="1"/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7" fillId="0" borderId="0" xfId="0" applyFont="1">
      <alignment vertical="center"/>
    </xf>
    <xf numFmtId="0" fontId="4" fillId="0" borderId="0" xfId="0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10EFF1F1-F6FB-4376-AFA3-23096C8801E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三线式标题行镶边行表格样式_5ef0b6" count="9" xr9:uid="{17BC3038-644B-4C1B-9C2B-399E946A55DA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firstHeaderCell" dxfId="15"/>
      <tableStyleElement type="lastHeaderCell" dxfId="14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7"/>
  <sheetViews>
    <sheetView tabSelected="1" zoomScale="70" zoomScaleNormal="70" workbookViewId="0">
      <pane ySplit="1" topLeftCell="A2" activePane="bottomLeft" state="frozen"/>
      <selection/>
      <selection pane="bottomLeft" activeCell="F40" sqref="F40:N61"/>
    </sheetView>
  </sheetViews>
  <sheetFormatPr defaultColWidth="9" defaultRowHeight="13.5"/>
  <cols>
    <col min="1" max="1" width="53.2" customWidth="1"/>
    <col min="2" max="2" width="12.675" customWidth="1"/>
    <col min="3" max="3" width="12.3416666666667" customWidth="1"/>
    <col min="4" max="5" width="9" customWidth="1"/>
    <col min="6" max="8" width="16.175" customWidth="1"/>
    <col min="9" max="12" width="15.0083333333333" customWidth="1"/>
    <col min="13" max="14" width="15.175" customWidth="1"/>
    <col min="15" max="17" width="15.8416666666667" customWidth="1"/>
    <col min="18" max="18" width="17.675" customWidth="1"/>
    <col min="19" max="19" width="22.175" customWidth="1"/>
    <col min="20" max="20" width="23.8416666666667" customWidth="1"/>
    <col min="21" max="21" width="24.3416666666667" customWidth="1"/>
    <col min="22" max="22" width="22.3416666666667" customWidth="1"/>
    <col min="23" max="23" width="20.8416666666667" customWidth="1"/>
    <col min="24" max="24" width="17.4916666666667" customWidth="1"/>
  </cols>
  <sheetData>
    <row r="1" s="1" customFormat="1" ht="22.5" customHeight="1" spans="1:24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="1" customFormat="1" ht="22.5" customHeight="1" spans="1:24">
      <c r="A2" t="s">
        <v>24</v>
      </c>
      <c r="B2" s="3" t="s">
        <v>25</v>
      </c>
      <c r="C2" s="6">
        <v>2</v>
      </c>
      <c r="D2" s="6">
        <v>1</v>
      </c>
      <c r="E2" s="6">
        <v>0</v>
      </c>
      <c r="F2" s="7">
        <v>750</v>
      </c>
      <c r="G2" s="7">
        <v>1</v>
      </c>
      <c r="H2" s="7">
        <v>0</v>
      </c>
      <c r="I2" s="7">
        <v>40</v>
      </c>
      <c r="J2" s="7">
        <v>20</v>
      </c>
      <c r="K2" s="7">
        <v>0.2</v>
      </c>
      <c r="L2" s="7">
        <v>0.05</v>
      </c>
      <c r="M2" s="7">
        <v>20</v>
      </c>
      <c r="N2" s="7">
        <v>2</v>
      </c>
      <c r="O2" s="8">
        <v>113</v>
      </c>
      <c r="P2" s="8">
        <v>27.6</v>
      </c>
      <c r="Q2" s="8">
        <v>100</v>
      </c>
      <c r="R2" s="8">
        <v>86.25</v>
      </c>
      <c r="S2" s="8">
        <v>-8.098</v>
      </c>
      <c r="T2" s="8">
        <v>-4.948</v>
      </c>
      <c r="U2" s="8">
        <v>-6.548</v>
      </c>
      <c r="V2" s="8">
        <v>0.532</v>
      </c>
      <c r="W2" s="8">
        <v>0.638</v>
      </c>
      <c r="X2" s="8">
        <f>((150-O2)/100)*2+(Q2/100)*2+(R2/100)*8+((-S2-7)*30)+((-T2/10)*7.5+((-U2/10)*7.5+((V2))*20+((W2))*20))</f>
        <v>74.602</v>
      </c>
    </row>
    <row r="3" s="1" customFormat="1" ht="22.5" customHeight="1" spans="1:24">
      <c r="A3" t="s">
        <v>26</v>
      </c>
      <c r="B3" s="3" t="s">
        <v>25</v>
      </c>
      <c r="C3" s="6">
        <v>2</v>
      </c>
      <c r="D3" s="6">
        <v>1</v>
      </c>
      <c r="E3" s="6">
        <v>0</v>
      </c>
      <c r="F3" s="7">
        <v>750</v>
      </c>
      <c r="G3" s="7">
        <v>1</v>
      </c>
      <c r="H3" s="7">
        <v>0</v>
      </c>
      <c r="I3" s="7">
        <v>20</v>
      </c>
      <c r="J3" s="7">
        <v>10</v>
      </c>
      <c r="K3" s="7">
        <v>0.2</v>
      </c>
      <c r="L3" s="7">
        <v>0.05</v>
      </c>
      <c r="M3" s="7">
        <v>10</v>
      </c>
      <c r="N3" s="7">
        <v>2</v>
      </c>
      <c r="O3" s="8">
        <v>167</v>
      </c>
      <c r="P3" s="8">
        <v>41.6</v>
      </c>
      <c r="Q3" s="8">
        <v>100</v>
      </c>
      <c r="R3" s="8">
        <v>77.66</v>
      </c>
      <c r="S3" s="8">
        <v>-7.925</v>
      </c>
      <c r="T3" s="8">
        <v>-4.914</v>
      </c>
      <c r="U3" s="8">
        <v>-6.22</v>
      </c>
      <c r="V3" s="8">
        <v>0.516</v>
      </c>
      <c r="W3" s="8">
        <v>0.659</v>
      </c>
      <c r="X3" s="8">
        <f>((150-O3)/100)*2+(Q3/100)*2+(R3/100)*8+((-S3-7)*30)+((-T3/10)*7.5+((-U3/10)*7.5+((V3))*20+((W3))*20))</f>
        <v>67.4733</v>
      </c>
    </row>
    <row r="4" s="2" customFormat="1" ht="22.5" customHeight="1" spans="1:24">
      <c r="A4" t="s">
        <v>27</v>
      </c>
      <c r="B4" s="3" t="s">
        <v>25</v>
      </c>
      <c r="C4" s="6">
        <v>2</v>
      </c>
      <c r="D4" s="6">
        <v>1</v>
      </c>
      <c r="E4" s="6">
        <v>0</v>
      </c>
      <c r="F4" s="7">
        <v>400</v>
      </c>
      <c r="G4" s="7">
        <v>0.5</v>
      </c>
      <c r="H4" s="7">
        <v>0</v>
      </c>
      <c r="I4" s="7">
        <v>80</v>
      </c>
      <c r="J4" s="7">
        <v>10</v>
      </c>
      <c r="K4" s="7">
        <v>0.2</v>
      </c>
      <c r="L4" s="7">
        <v>0.05</v>
      </c>
      <c r="M4" s="7">
        <v>10</v>
      </c>
      <c r="N4" s="7">
        <v>5</v>
      </c>
      <c r="O4" s="8">
        <v>70</v>
      </c>
      <c r="P4" s="8">
        <v>17.5</v>
      </c>
      <c r="Q4" s="8">
        <v>100</v>
      </c>
      <c r="R4" s="8">
        <v>86.72</v>
      </c>
      <c r="S4" s="8">
        <v>-8.171</v>
      </c>
      <c r="T4" s="8">
        <v>-6.058</v>
      </c>
      <c r="U4" s="8">
        <v>-6.987</v>
      </c>
      <c r="V4" s="8">
        <v>0.5</v>
      </c>
      <c r="W4" s="8">
        <v>0.64</v>
      </c>
      <c r="X4" s="8">
        <f>((150-O4)/100)*2+(Q4/100)*2+(R4/100)*8+((-S4-7)*30)+((-T4/10)*7.5+((-U4/10)*7.5+((V4))*20+((W4))*20))</f>
        <v>78.25135</v>
      </c>
    </row>
    <row r="5" s="1" customFormat="1" ht="22.5" customHeight="1" spans="1:24">
      <c r="A5" t="s">
        <v>28</v>
      </c>
      <c r="B5" s="3" t="s">
        <v>25</v>
      </c>
      <c r="C5" s="6">
        <v>2</v>
      </c>
      <c r="D5" s="6">
        <v>1</v>
      </c>
      <c r="E5" s="6">
        <v>0</v>
      </c>
      <c r="F5" s="7">
        <v>300</v>
      </c>
      <c r="G5" s="7">
        <v>0.5</v>
      </c>
      <c r="H5" s="7">
        <v>0</v>
      </c>
      <c r="I5" s="7">
        <v>80</v>
      </c>
      <c r="J5" s="7">
        <v>10</v>
      </c>
      <c r="K5" s="7">
        <v>0.2</v>
      </c>
      <c r="L5" s="7">
        <v>0.05</v>
      </c>
      <c r="M5" s="7">
        <v>10</v>
      </c>
      <c r="N5" s="7">
        <v>5</v>
      </c>
      <c r="O5" s="8">
        <v>60</v>
      </c>
      <c r="P5" s="8">
        <v>16.1</v>
      </c>
      <c r="Q5" s="8">
        <v>99.44</v>
      </c>
      <c r="R5" s="8">
        <v>86.11</v>
      </c>
      <c r="S5" s="8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8">
        <f>((150-O5)/100)*2+(Q5/100)*2+(R5/100)*8+((-S5-7)*30)+((-T5/10)*7.5+((-U5/10)*7.5+((V5))*20+((W5))*20))</f>
        <v>74.35835</v>
      </c>
    </row>
    <row r="6" s="1" customFormat="1" ht="22.5" customHeight="1" spans="1:24">
      <c r="A6" t="s">
        <v>34</v>
      </c>
      <c r="B6" s="3" t="s">
        <v>25</v>
      </c>
      <c r="C6" s="6">
        <v>2</v>
      </c>
      <c r="D6" s="6">
        <v>1</v>
      </c>
      <c r="E6" s="6">
        <v>0</v>
      </c>
      <c r="F6" s="7">
        <v>300</v>
      </c>
      <c r="G6" s="7">
        <v>0.4</v>
      </c>
      <c r="H6" s="7">
        <v>0</v>
      </c>
      <c r="I6" s="7">
        <v>80</v>
      </c>
      <c r="J6" s="7">
        <v>20</v>
      </c>
      <c r="K6" s="7">
        <v>0.3</v>
      </c>
      <c r="L6" s="7">
        <v>0.05</v>
      </c>
      <c r="M6" s="7">
        <v>20</v>
      </c>
      <c r="N6" s="7">
        <v>5</v>
      </c>
      <c r="O6" s="8">
        <v>51</v>
      </c>
      <c r="P6" s="8">
        <v>16.7</v>
      </c>
      <c r="Q6" s="8">
        <v>95</v>
      </c>
      <c r="R6" s="8">
        <v>77.63</v>
      </c>
      <c r="S6" s="8">
        <v>-8.188</v>
      </c>
      <c r="T6" s="8">
        <v>-4.329</v>
      </c>
      <c r="U6" s="8">
        <v>-6.508</v>
      </c>
      <c r="V6" s="8">
        <v>0.496</v>
      </c>
      <c r="W6" s="8">
        <v>0.634</v>
      </c>
      <c r="X6" s="8">
        <f>((150-O6)/100)*2+(Q6/100)*2+(R6/100)*8+((-S6-7)*30)+((-T6/10)*7.5+((-U6/10)*7.5+((V6))*20+((W6))*20))</f>
        <v>76.45815</v>
      </c>
    </row>
    <row r="7" s="2" customFormat="1" ht="22.5" customHeight="1" spans="1:24">
      <c r="A7" t="s">
        <v>35</v>
      </c>
      <c r="B7" s="3" t="s">
        <v>25</v>
      </c>
      <c r="C7" s="6">
        <v>2</v>
      </c>
      <c r="D7" s="6">
        <v>1</v>
      </c>
      <c r="E7" s="6">
        <v>0</v>
      </c>
      <c r="F7" s="7">
        <v>150</v>
      </c>
      <c r="G7" s="7">
        <v>0.4</v>
      </c>
      <c r="H7" s="7">
        <v>0</v>
      </c>
      <c r="I7" s="7">
        <v>80</v>
      </c>
      <c r="J7" s="7">
        <v>20</v>
      </c>
      <c r="K7" s="7">
        <v>0.4</v>
      </c>
      <c r="L7" s="7">
        <v>0.05</v>
      </c>
      <c r="M7" s="7">
        <v>5</v>
      </c>
      <c r="N7" s="7">
        <v>5</v>
      </c>
      <c r="O7" s="8">
        <v>44</v>
      </c>
      <c r="P7" s="8">
        <v>18</v>
      </c>
      <c r="Q7" s="8">
        <v>93.75</v>
      </c>
      <c r="R7" s="8">
        <v>78.5</v>
      </c>
      <c r="S7" s="8">
        <v>-8.273</v>
      </c>
      <c r="T7" s="8">
        <v>-6.761</v>
      </c>
      <c r="U7" s="8">
        <v>-7.144</v>
      </c>
      <c r="V7" s="8">
        <v>0.463</v>
      </c>
      <c r="W7" s="8">
        <v>0.633</v>
      </c>
      <c r="X7" s="8">
        <f>((150-O7)/100)*2+(Q7/100)*2+(R7/100)*8+((-S7-7)*30)+((-T7/10)*7.5+((-U7/10)*7.5+((V7))*20+((W7))*20))</f>
        <v>80.81375</v>
      </c>
    </row>
    <row r="8" s="1" customFormat="1" ht="22.5" customHeight="1" spans="1:24">
      <c r="A8" t="s">
        <v>36</v>
      </c>
      <c r="B8" s="3" t="s">
        <v>25</v>
      </c>
      <c r="C8" s="6">
        <v>2</v>
      </c>
      <c r="D8" s="6">
        <v>1</v>
      </c>
      <c r="E8" s="6">
        <v>0</v>
      </c>
      <c r="F8" s="7">
        <v>750</v>
      </c>
      <c r="G8" s="7">
        <v>0.5</v>
      </c>
      <c r="H8" s="7">
        <v>0</v>
      </c>
      <c r="I8" s="7">
        <v>80</v>
      </c>
      <c r="J8" s="7">
        <v>20</v>
      </c>
      <c r="K8" s="7">
        <v>0.2</v>
      </c>
      <c r="L8" s="7">
        <v>0.05</v>
      </c>
      <c r="M8" s="7">
        <v>10</v>
      </c>
      <c r="N8" s="7">
        <v>5</v>
      </c>
      <c r="O8" s="8">
        <v>96</v>
      </c>
      <c r="P8" s="8">
        <v>20.6</v>
      </c>
      <c r="Q8" s="8">
        <v>100</v>
      </c>
      <c r="R8" s="8">
        <v>89.22</v>
      </c>
      <c r="S8" s="8">
        <v>-8.16</v>
      </c>
      <c r="T8" s="8">
        <v>-4.494</v>
      </c>
      <c r="U8" s="8">
        <v>-6.369</v>
      </c>
      <c r="V8" s="8">
        <v>0.518</v>
      </c>
      <c r="W8" s="8">
        <v>0.598</v>
      </c>
      <c r="X8" s="8">
        <f>((150-O8)/100)*2+(Q8/100)*2+(R8/100)*8+((-S8-7)*30)+((-T8/10)*7.5+((-U8/10)*7.5+((V8))*20+((W8))*20))</f>
        <v>75.48485</v>
      </c>
    </row>
    <row r="9" s="1" customFormat="1" ht="22.5" customHeight="1" spans="1:24">
      <c r="A9" t="s">
        <v>37</v>
      </c>
      <c r="B9" s="3" t="s">
        <v>25</v>
      </c>
      <c r="C9" s="6">
        <v>2</v>
      </c>
      <c r="D9" s="6">
        <v>1</v>
      </c>
      <c r="E9" s="6">
        <v>0</v>
      </c>
      <c r="F9" s="7">
        <v>750</v>
      </c>
      <c r="G9" s="7">
        <v>0.4</v>
      </c>
      <c r="H9" s="7">
        <v>0</v>
      </c>
      <c r="I9" s="7">
        <v>40</v>
      </c>
      <c r="J9" s="7">
        <v>20</v>
      </c>
      <c r="K9" s="7">
        <v>0.2</v>
      </c>
      <c r="L9" s="7">
        <v>0.05</v>
      </c>
      <c r="M9" s="7">
        <v>10</v>
      </c>
      <c r="N9" s="7">
        <v>5</v>
      </c>
      <c r="O9" s="8">
        <v>98</v>
      </c>
      <c r="P9" s="8">
        <v>21</v>
      </c>
      <c r="Q9" s="8">
        <v>100</v>
      </c>
      <c r="R9" s="8">
        <v>90.63</v>
      </c>
      <c r="S9" s="8" t="s">
        <v>38</v>
      </c>
      <c r="T9" s="8" t="s">
        <v>39</v>
      </c>
      <c r="U9" s="8" t="s">
        <v>40</v>
      </c>
      <c r="V9" s="8" t="s">
        <v>41</v>
      </c>
      <c r="W9" s="8" t="s">
        <v>42</v>
      </c>
      <c r="X9" s="8">
        <f>((150-O9)/100)*2+(Q9/100)*2+(R9/100)*8+((-S9-7)*30)+((-T9/10)*7.5+((-U9/10)*7.5+((V9))*20+((W9))*20))</f>
        <v>69.2179</v>
      </c>
    </row>
    <row r="10" s="1" customFormat="1" ht="15.75" spans="1:24">
      <c r="A10" t="s">
        <v>43</v>
      </c>
      <c r="B10" s="3" t="s">
        <v>25</v>
      </c>
      <c r="C10" s="6">
        <v>2</v>
      </c>
      <c r="D10" s="6">
        <v>1</v>
      </c>
      <c r="E10" s="6">
        <v>0</v>
      </c>
      <c r="F10" s="7">
        <v>750</v>
      </c>
      <c r="G10" s="7">
        <v>0.6</v>
      </c>
      <c r="H10" s="7">
        <v>0</v>
      </c>
      <c r="I10" s="7">
        <v>80</v>
      </c>
      <c r="J10" s="7">
        <v>20</v>
      </c>
      <c r="K10" s="7">
        <v>0.2</v>
      </c>
      <c r="L10" s="7">
        <v>0.05</v>
      </c>
      <c r="M10" s="7">
        <v>10</v>
      </c>
      <c r="N10" s="7">
        <v>5</v>
      </c>
      <c r="O10" s="8">
        <v>96</v>
      </c>
      <c r="P10" s="8">
        <v>21</v>
      </c>
      <c r="Q10" s="8">
        <v>99.81</v>
      </c>
      <c r="R10" s="8">
        <v>81.09</v>
      </c>
      <c r="S10" s="8" t="s">
        <v>44</v>
      </c>
      <c r="T10" s="8" t="s">
        <v>45</v>
      </c>
      <c r="U10" s="8" t="s">
        <v>46</v>
      </c>
      <c r="V10" s="8" t="s">
        <v>47</v>
      </c>
      <c r="W10" s="8" t="s">
        <v>48</v>
      </c>
      <c r="X10" s="8">
        <f>((150-O10)/100)*2+(Q10/100)*2+(R10/100)*8+((-S10-7)*30)+((-T10/10)*7.5+((-U10/10)*7.5+((V10))*20+((W10))*20))</f>
        <v>77.2039</v>
      </c>
    </row>
    <row r="11" s="1" customFormat="1" ht="15.75" spans="1:24">
      <c r="A11" t="s">
        <v>49</v>
      </c>
      <c r="B11" s="3" t="s">
        <v>25</v>
      </c>
      <c r="C11" s="6">
        <v>2</v>
      </c>
      <c r="D11" s="6">
        <v>1</v>
      </c>
      <c r="E11" s="6">
        <v>0</v>
      </c>
      <c r="F11" s="7">
        <v>750</v>
      </c>
      <c r="G11" s="7">
        <v>0.4</v>
      </c>
      <c r="H11" s="7">
        <v>0</v>
      </c>
      <c r="I11" s="7">
        <v>80</v>
      </c>
      <c r="J11" s="7">
        <v>20</v>
      </c>
      <c r="K11" s="7">
        <v>0.2</v>
      </c>
      <c r="L11" s="7">
        <v>0.05</v>
      </c>
      <c r="M11" s="7">
        <v>40</v>
      </c>
      <c r="N11" s="7">
        <v>5</v>
      </c>
      <c r="O11" s="8">
        <v>52</v>
      </c>
      <c r="P11" s="8">
        <v>11.4</v>
      </c>
      <c r="Q11" s="8">
        <v>99.5</v>
      </c>
      <c r="R11" s="8">
        <v>90.68</v>
      </c>
      <c r="S11" s="8" t="s">
        <v>50</v>
      </c>
      <c r="T11" s="8" t="s">
        <v>51</v>
      </c>
      <c r="U11" s="8" t="s">
        <v>52</v>
      </c>
      <c r="V11" s="8" t="s">
        <v>53</v>
      </c>
      <c r="W11" s="8" t="s">
        <v>54</v>
      </c>
      <c r="X11" s="8">
        <f>((150-O11)/100)*2+(Q11/100)*2+(R11/100)*8+((-S11-7)*30)+((-T11/10)*7.5+((-U11/10)*7.5+((V11))*20+((W11))*20))</f>
        <v>79.1079</v>
      </c>
    </row>
    <row r="12" s="1" customFormat="1" ht="15.75" spans="1:24">
      <c r="A12" t="s">
        <v>55</v>
      </c>
      <c r="B12" s="3" t="s">
        <v>25</v>
      </c>
      <c r="C12" s="6">
        <v>2</v>
      </c>
      <c r="D12" s="6">
        <v>1</v>
      </c>
      <c r="E12" s="6">
        <v>0</v>
      </c>
      <c r="F12" s="7">
        <v>750</v>
      </c>
      <c r="G12" s="7">
        <v>0.4</v>
      </c>
      <c r="H12" s="7">
        <v>0</v>
      </c>
      <c r="I12" s="7">
        <v>80</v>
      </c>
      <c r="J12" s="7">
        <v>20</v>
      </c>
      <c r="K12" s="7">
        <v>0.2</v>
      </c>
      <c r="L12" s="7">
        <v>0.05</v>
      </c>
      <c r="M12" s="7">
        <v>10</v>
      </c>
      <c r="N12" s="7">
        <v>5</v>
      </c>
      <c r="O12" s="8">
        <v>96</v>
      </c>
      <c r="P12" s="8">
        <v>20.2</v>
      </c>
      <c r="Q12" s="8">
        <v>99.75</v>
      </c>
      <c r="R12" s="8">
        <v>87.97</v>
      </c>
      <c r="S12" s="8">
        <v>-7.988</v>
      </c>
      <c r="T12" s="8">
        <v>-2.021</v>
      </c>
      <c r="U12" s="8">
        <v>-5.726</v>
      </c>
      <c r="V12" s="8">
        <v>0.529</v>
      </c>
      <c r="W12" s="8">
        <v>0.59</v>
      </c>
      <c r="X12" s="8">
        <f>((150-O12)/100)*2+(Q12/100)*2+(R12/100)*8+((-S12-7)*30)+((-T12/10)*7.5+((-U12/10)*7.5+((V12))*20+((W12))*20))</f>
        <v>67.94285</v>
      </c>
    </row>
    <row r="13" s="1" customFormat="1" ht="15.75" spans="1:24">
      <c r="A13" t="s">
        <v>56</v>
      </c>
      <c r="B13" s="3" t="s">
        <v>25</v>
      </c>
      <c r="C13" s="6">
        <v>2</v>
      </c>
      <c r="D13" s="6">
        <v>1</v>
      </c>
      <c r="E13" s="6">
        <v>0</v>
      </c>
      <c r="F13" s="7">
        <v>750</v>
      </c>
      <c r="G13" s="7">
        <v>1</v>
      </c>
      <c r="H13" s="7">
        <v>0</v>
      </c>
      <c r="I13" s="7">
        <v>80</v>
      </c>
      <c r="J13" s="7">
        <v>20</v>
      </c>
      <c r="K13" s="7">
        <v>0.2</v>
      </c>
      <c r="L13" s="7">
        <v>0.05</v>
      </c>
      <c r="M13" s="7">
        <v>10</v>
      </c>
      <c r="N13" s="7">
        <v>5</v>
      </c>
      <c r="O13" s="8">
        <v>96</v>
      </c>
      <c r="P13" s="8">
        <v>22.6</v>
      </c>
      <c r="Q13" s="8">
        <v>99.63</v>
      </c>
      <c r="R13" s="8">
        <v>90.97</v>
      </c>
      <c r="S13" s="8" t="s">
        <v>57</v>
      </c>
      <c r="T13" s="8" t="s">
        <v>58</v>
      </c>
      <c r="U13" s="8" t="s">
        <v>59</v>
      </c>
      <c r="V13" s="8" t="s">
        <v>60</v>
      </c>
      <c r="W13" s="8" t="s">
        <v>61</v>
      </c>
      <c r="X13" s="8">
        <f>((150-O13)/100)*2+(Q13/100)*2+(R13/100)*8+((-S13-7)*30)+((-T13/10)*7.5+((-U13/10)*7.5+((V13))*20+((W13))*20))</f>
        <v>80.5902</v>
      </c>
    </row>
    <row r="14" s="1" customFormat="1" ht="15.75" spans="1:24">
      <c r="A14" t="s">
        <v>62</v>
      </c>
      <c r="B14" s="3" t="s">
        <v>25</v>
      </c>
      <c r="C14" s="6">
        <v>2</v>
      </c>
      <c r="D14" s="6">
        <v>1</v>
      </c>
      <c r="E14" s="6">
        <v>0</v>
      </c>
      <c r="F14" s="7">
        <v>750</v>
      </c>
      <c r="G14" s="7">
        <v>0.4</v>
      </c>
      <c r="H14" s="7">
        <v>0</v>
      </c>
      <c r="I14" s="7">
        <v>80</v>
      </c>
      <c r="J14" s="7">
        <v>20</v>
      </c>
      <c r="K14" s="7">
        <v>0.2</v>
      </c>
      <c r="L14" s="7">
        <v>0.05</v>
      </c>
      <c r="M14" s="7">
        <v>10</v>
      </c>
      <c r="N14" s="7">
        <v>5</v>
      </c>
      <c r="O14" s="8">
        <v>96</v>
      </c>
      <c r="P14" s="8">
        <v>20.2</v>
      </c>
      <c r="Q14" s="8">
        <v>99.63</v>
      </c>
      <c r="R14" s="8">
        <v>85.51</v>
      </c>
      <c r="S14" s="8">
        <v>-8.22174313288789</v>
      </c>
      <c r="T14" s="8">
        <v>-4.35853526354862</v>
      </c>
      <c r="U14" s="8">
        <v>-6.38808908685969</v>
      </c>
      <c r="V14" s="15" t="s">
        <v>63</v>
      </c>
      <c r="W14" s="15" t="s">
        <v>64</v>
      </c>
      <c r="X14" s="8">
        <f>((150-O14)/100)*2+(Q14/100)*2+(R14/100)*8+((-S14-7)*30)+((-T14/10)*7.5+((-U14/10)*7.5+((V14))*20+((W14))*20))</f>
        <v>76.0439876292187</v>
      </c>
    </row>
    <row r="15" s="1" customFormat="1" ht="15.75" spans="1:24">
      <c r="A15" t="s">
        <v>65</v>
      </c>
      <c r="B15" s="3" t="s">
        <v>25</v>
      </c>
      <c r="C15" s="6">
        <v>2</v>
      </c>
      <c r="D15" s="6">
        <v>1</v>
      </c>
      <c r="E15" s="6">
        <v>0</v>
      </c>
      <c r="F15" s="7">
        <v>750</v>
      </c>
      <c r="G15" s="7">
        <v>1</v>
      </c>
      <c r="H15" s="7">
        <v>0</v>
      </c>
      <c r="I15" s="7">
        <v>80</v>
      </c>
      <c r="J15" s="7">
        <v>20</v>
      </c>
      <c r="K15" s="7">
        <v>0.1</v>
      </c>
      <c r="L15" s="7">
        <v>0.1</v>
      </c>
      <c r="M15" s="7">
        <v>10</v>
      </c>
      <c r="N15" s="7">
        <v>5</v>
      </c>
      <c r="O15" s="8">
        <v>96</v>
      </c>
      <c r="P15" s="8">
        <v>13.3</v>
      </c>
      <c r="Q15" s="8">
        <v>99.5</v>
      </c>
      <c r="R15" s="8">
        <v>91.14</v>
      </c>
      <c r="S15" s="8" t="s">
        <v>66</v>
      </c>
      <c r="T15" s="8" t="s">
        <v>67</v>
      </c>
      <c r="U15" s="8" t="s">
        <v>68</v>
      </c>
      <c r="V15" s="8">
        <v>0.52</v>
      </c>
      <c r="W15" s="8" t="s">
        <v>69</v>
      </c>
      <c r="X15" s="8">
        <f>((150-O15)/100)*2+(Q15/100)*2+(R15/100)*8+((-S15-7)*30)+((-T15/10)*7.5+((-U15/10)*7.5+((V15))*20+((W15))*20))</f>
        <v>69.3602</v>
      </c>
    </row>
    <row r="16" s="1" customFormat="1" ht="15.75" spans="1:24">
      <c r="A16" t="s">
        <v>70</v>
      </c>
      <c r="B16" s="3" t="s">
        <v>25</v>
      </c>
      <c r="C16" s="6">
        <v>2</v>
      </c>
      <c r="D16" s="6">
        <v>1</v>
      </c>
      <c r="E16" s="6">
        <v>0</v>
      </c>
      <c r="F16" s="7">
        <v>750</v>
      </c>
      <c r="G16" s="7">
        <v>0.6</v>
      </c>
      <c r="H16" s="7">
        <v>0</v>
      </c>
      <c r="I16" s="7">
        <v>80</v>
      </c>
      <c r="J16" s="7">
        <v>20</v>
      </c>
      <c r="K16" s="7">
        <v>0.4</v>
      </c>
      <c r="L16" s="7">
        <v>0.05</v>
      </c>
      <c r="M16" s="7">
        <v>40</v>
      </c>
      <c r="N16" s="7">
        <v>5</v>
      </c>
      <c r="O16" s="8">
        <v>52</v>
      </c>
      <c r="P16" s="8">
        <v>22</v>
      </c>
      <c r="Q16" s="8">
        <v>99.63</v>
      </c>
      <c r="R16" s="8">
        <v>89.22</v>
      </c>
      <c r="S16" s="8" t="s">
        <v>71</v>
      </c>
      <c r="T16" s="8" t="s">
        <v>72</v>
      </c>
      <c r="U16" s="8" t="s">
        <v>73</v>
      </c>
      <c r="V16" s="8" t="s">
        <v>74</v>
      </c>
      <c r="W16" s="8" t="s">
        <v>75</v>
      </c>
      <c r="X16" s="8">
        <f>((150-O16)/100)*2+(Q16/100)*2+(R16/100)*8+((-S16-7)*30)+((-T16/10)*7.5+((-U16/10)*7.5+((V16))*20+((W16))*20))</f>
        <v>78.89845</v>
      </c>
    </row>
    <row r="17" s="1" customFormat="1" ht="18" spans="1:25">
      <c r="A17" t="s">
        <v>76</v>
      </c>
      <c r="B17" s="3" t="s">
        <v>25</v>
      </c>
      <c r="C17" s="6">
        <v>2</v>
      </c>
      <c r="D17" s="6">
        <v>1</v>
      </c>
      <c r="E17" s="6">
        <v>0</v>
      </c>
      <c r="F17" s="7" t="s">
        <v>77</v>
      </c>
      <c r="G17" s="7" t="s">
        <v>78</v>
      </c>
      <c r="H17" s="7">
        <v>0</v>
      </c>
      <c r="I17" s="7">
        <v>50</v>
      </c>
      <c r="J17" s="7">
        <v>20</v>
      </c>
      <c r="K17" s="7">
        <v>0.4</v>
      </c>
      <c r="L17" s="7">
        <v>0.08</v>
      </c>
      <c r="M17" s="7">
        <v>10</v>
      </c>
      <c r="N17" s="7">
        <v>5</v>
      </c>
      <c r="O17" s="8" t="s">
        <v>79</v>
      </c>
      <c r="P17" s="8" t="s">
        <v>80</v>
      </c>
      <c r="Q17" s="8">
        <v>99.68</v>
      </c>
      <c r="R17" s="8">
        <v>81.75</v>
      </c>
      <c r="S17" s="8">
        <v>-8.1936353211009</v>
      </c>
      <c r="T17" s="8">
        <v>-3.18344495412844</v>
      </c>
      <c r="U17" s="8">
        <v>-6.04327370030581</v>
      </c>
      <c r="V17" s="15" t="s">
        <v>81</v>
      </c>
      <c r="W17" s="15" t="s">
        <v>82</v>
      </c>
      <c r="X17" s="8">
        <f>((150-O17)/100)*2+(Q17/100)*2+(R17/100)*8+((-S17-7)*30)+((-T17/10)*7.5+((-U17/10)*7.5+((V17))*20+((W17))*20))</f>
        <v>74.6221157121077</v>
      </c>
      <c r="Y17" s="9"/>
    </row>
    <row r="18" s="1" customFormat="1" ht="18" spans="1:25">
      <c r="A18" t="s">
        <v>83</v>
      </c>
      <c r="B18" s="3" t="s">
        <v>25</v>
      </c>
      <c r="C18" s="6">
        <v>2</v>
      </c>
      <c r="D18" s="6">
        <v>1</v>
      </c>
      <c r="E18" s="6">
        <v>0</v>
      </c>
      <c r="F18" s="7">
        <v>700</v>
      </c>
      <c r="G18" s="7">
        <v>0.5</v>
      </c>
      <c r="H18" s="7">
        <v>0</v>
      </c>
      <c r="I18" s="7">
        <v>80</v>
      </c>
      <c r="J18" s="7">
        <v>20</v>
      </c>
      <c r="K18" s="7">
        <v>0.3</v>
      </c>
      <c r="L18" s="7">
        <v>0.08</v>
      </c>
      <c r="M18" s="7">
        <v>30</v>
      </c>
      <c r="N18" s="7">
        <v>5</v>
      </c>
      <c r="O18" s="8">
        <v>60</v>
      </c>
      <c r="P18" s="8">
        <v>19.3</v>
      </c>
      <c r="Q18" s="8">
        <v>99.75</v>
      </c>
      <c r="R18" s="8">
        <v>89.93</v>
      </c>
      <c r="S18" s="8">
        <v>-8.31</v>
      </c>
      <c r="T18" s="8">
        <v>-4.304</v>
      </c>
      <c r="U18" s="8">
        <v>-6.582</v>
      </c>
      <c r="V18" s="8">
        <v>0.507</v>
      </c>
      <c r="W18" s="8">
        <v>0.588</v>
      </c>
      <c r="X18" s="8">
        <f>((150-O18)/100)*2+(Q18/100)*2+(R18/100)*8+((-S18-7)*30)+((-T18/10)*7.5+((-U18/10)*7.5+((V18))*20+((W18))*20))</f>
        <v>80.3539</v>
      </c>
      <c r="Y18" s="9"/>
    </row>
    <row r="19" s="1" customFormat="1" ht="18" spans="1:25">
      <c r="A19" t="s">
        <v>84</v>
      </c>
      <c r="B19" s="3" t="s">
        <v>25</v>
      </c>
      <c r="C19" s="6">
        <v>2</v>
      </c>
      <c r="D19" s="6">
        <v>1</v>
      </c>
      <c r="E19" s="6">
        <v>0</v>
      </c>
      <c r="F19" s="7">
        <v>600</v>
      </c>
      <c r="G19" s="7">
        <v>0.4</v>
      </c>
      <c r="H19" s="7">
        <v>0</v>
      </c>
      <c r="I19" s="7">
        <v>60</v>
      </c>
      <c r="J19" s="7">
        <v>10</v>
      </c>
      <c r="K19" s="7">
        <v>0.15</v>
      </c>
      <c r="L19" s="7">
        <v>0.05</v>
      </c>
      <c r="M19" s="7">
        <v>10</v>
      </c>
      <c r="N19" s="7">
        <v>2</v>
      </c>
      <c r="O19" s="8">
        <v>148</v>
      </c>
      <c r="P19" s="8">
        <v>24.3499999999999</v>
      </c>
      <c r="Q19" s="8">
        <v>99.75</v>
      </c>
      <c r="R19" s="8">
        <v>82.75</v>
      </c>
      <c r="S19" s="8">
        <v>-7.962</v>
      </c>
      <c r="T19" s="8">
        <v>-2.171</v>
      </c>
      <c r="U19" s="8">
        <v>-5.517</v>
      </c>
      <c r="V19" s="8">
        <v>0.531</v>
      </c>
      <c r="W19" s="8">
        <v>0.622</v>
      </c>
      <c r="X19" s="8">
        <f>((150-O19)/100)*2+(Q19/100)*2+(R19/100)*8+((-S19-7)*30)+((-T19/10)*7.5+((-U19/10)*7.5+((V19))*20+((W19))*20))</f>
        <v>66.341</v>
      </c>
      <c r="Y19" s="9"/>
    </row>
    <row r="20" s="1" customFormat="1" ht="18" spans="1:25">
      <c r="A20" t="s">
        <v>85</v>
      </c>
      <c r="B20" s="3" t="s">
        <v>25</v>
      </c>
      <c r="C20" s="6">
        <v>2</v>
      </c>
      <c r="D20" s="6">
        <v>1</v>
      </c>
      <c r="E20" s="6">
        <v>0</v>
      </c>
      <c r="F20" s="7">
        <v>600</v>
      </c>
      <c r="G20" s="7">
        <v>0.6</v>
      </c>
      <c r="H20" s="7">
        <v>0</v>
      </c>
      <c r="I20" s="7">
        <v>60</v>
      </c>
      <c r="J20" s="7">
        <v>20</v>
      </c>
      <c r="K20" s="7">
        <v>0.6</v>
      </c>
      <c r="L20" s="7">
        <v>0.05</v>
      </c>
      <c r="M20" s="7">
        <v>20</v>
      </c>
      <c r="N20" s="7">
        <v>5</v>
      </c>
      <c r="O20" s="8" t="s">
        <v>86</v>
      </c>
      <c r="P20" s="8" t="s">
        <v>87</v>
      </c>
      <c r="Q20" s="8" t="s">
        <v>88</v>
      </c>
      <c r="R20" s="8" t="s">
        <v>89</v>
      </c>
      <c r="S20" s="8" t="s">
        <v>90</v>
      </c>
      <c r="T20" s="8" t="s">
        <v>91</v>
      </c>
      <c r="U20" s="8" t="s">
        <v>92</v>
      </c>
      <c r="V20" s="8" t="s">
        <v>93</v>
      </c>
      <c r="W20" s="8" t="s">
        <v>94</v>
      </c>
      <c r="X20" s="8">
        <f>((150-O20)/100)*2+(Q20/100)*2+(R20/100)*8+((-S20-7)*30)+((-T20/10)*7.5+((-U20/10)*7.5+((V20))*20+((W20))*20))</f>
        <v>77.6477</v>
      </c>
      <c r="Y20" s="9"/>
    </row>
    <row r="21" s="1" customFormat="1" ht="15.75" spans="1:25">
      <c r="A21" t="s">
        <v>95</v>
      </c>
      <c r="B21" s="3" t="s">
        <v>25</v>
      </c>
      <c r="C21" s="6">
        <v>2</v>
      </c>
      <c r="D21" s="6">
        <v>1</v>
      </c>
      <c r="E21" s="6">
        <v>0</v>
      </c>
      <c r="F21" s="7">
        <v>750</v>
      </c>
      <c r="G21" s="7">
        <v>0.45</v>
      </c>
      <c r="H21" s="7">
        <v>0</v>
      </c>
      <c r="I21" s="7">
        <v>25</v>
      </c>
      <c r="J21" s="7">
        <v>18</v>
      </c>
      <c r="K21" s="7">
        <v>0.25</v>
      </c>
      <c r="L21" s="7">
        <v>0.05</v>
      </c>
      <c r="M21" s="7">
        <v>18</v>
      </c>
      <c r="N21" s="7">
        <v>4</v>
      </c>
      <c r="O21" s="8" t="s">
        <v>96</v>
      </c>
      <c r="P21" s="8" t="s">
        <v>97</v>
      </c>
      <c r="Q21" s="8" t="s">
        <v>98</v>
      </c>
      <c r="R21" s="8" t="s">
        <v>99</v>
      </c>
      <c r="S21" s="8" t="s">
        <v>100</v>
      </c>
      <c r="T21" s="8" t="s">
        <v>101</v>
      </c>
      <c r="U21" s="8" t="s">
        <v>102</v>
      </c>
      <c r="V21" s="8" t="s">
        <v>47</v>
      </c>
      <c r="W21" s="8" t="s">
        <v>103</v>
      </c>
      <c r="X21" s="8">
        <f>((150-O21)/100)*2+(Q21/100)*2+(R21/100)*8+((-S21-7)*30)+((-T21/10)*7.5+((-U21/10)*7.5+((V21))*20+((W21))*20))</f>
        <v>72.8481</v>
      </c>
    </row>
    <row r="22" ht="15.75" spans="1:25">
      <c r="A22" t="s">
        <v>104</v>
      </c>
      <c r="B22" s="3" t="s">
        <v>25</v>
      </c>
      <c r="C22" s="6">
        <v>2</v>
      </c>
      <c r="D22" s="6">
        <v>1</v>
      </c>
      <c r="E22" s="6">
        <v>0</v>
      </c>
      <c r="F22" s="7">
        <v>500</v>
      </c>
      <c r="G22" s="7">
        <v>0.4</v>
      </c>
      <c r="H22" s="7">
        <v>0</v>
      </c>
      <c r="I22" s="7">
        <v>40</v>
      </c>
      <c r="J22" s="7">
        <v>20</v>
      </c>
      <c r="K22" s="7">
        <v>0.2</v>
      </c>
      <c r="L22" s="7">
        <v>0.05</v>
      </c>
      <c r="M22" s="7">
        <v>10</v>
      </c>
      <c r="N22" s="7">
        <v>5</v>
      </c>
      <c r="O22" s="8" t="s">
        <v>105</v>
      </c>
      <c r="P22" s="8" t="s">
        <v>106</v>
      </c>
      <c r="Q22" s="8" t="s">
        <v>107</v>
      </c>
      <c r="R22" s="8" t="s">
        <v>108</v>
      </c>
      <c r="S22" s="8" t="s">
        <v>109</v>
      </c>
      <c r="T22" s="8" t="s">
        <v>110</v>
      </c>
      <c r="U22" s="8" t="s">
        <v>111</v>
      </c>
      <c r="V22" s="8" t="s">
        <v>112</v>
      </c>
      <c r="W22" s="8" t="s">
        <v>113</v>
      </c>
      <c r="X22" s="8">
        <f>((150-O22)/100)*2+(Q22/100)*2+(R22/100)*8+((-S22-7)*30)+((-T22/10)*7.5+((-U22/10)*7.5+((V22))*20+((W22))*20))</f>
        <v>76.28935</v>
      </c>
    </row>
    <row r="23" ht="15.75" spans="1:25">
      <c r="A23" t="s">
        <v>114</v>
      </c>
      <c r="B23" s="3" t="s">
        <v>25</v>
      </c>
      <c r="C23" s="6">
        <v>2</v>
      </c>
      <c r="D23" s="6">
        <v>1</v>
      </c>
      <c r="E23" s="6">
        <v>0</v>
      </c>
      <c r="F23" s="7">
        <v>500</v>
      </c>
      <c r="G23" s="7">
        <v>0.6</v>
      </c>
      <c r="H23" s="7">
        <v>0</v>
      </c>
      <c r="I23" s="7">
        <v>40</v>
      </c>
      <c r="J23" s="7">
        <v>20</v>
      </c>
      <c r="K23" s="7">
        <v>0.4</v>
      </c>
      <c r="L23" s="7">
        <v>0.05</v>
      </c>
      <c r="M23" s="7">
        <v>30</v>
      </c>
      <c r="N23" s="7">
        <v>5</v>
      </c>
      <c r="O23" s="8" t="s">
        <v>115</v>
      </c>
      <c r="P23" s="8" t="s">
        <v>116</v>
      </c>
      <c r="Q23" s="8" t="s">
        <v>117</v>
      </c>
      <c r="R23" s="8" t="s">
        <v>118</v>
      </c>
      <c r="S23" s="8" t="s">
        <v>119</v>
      </c>
      <c r="T23" s="8" t="s">
        <v>120</v>
      </c>
      <c r="U23" s="8" t="s">
        <v>121</v>
      </c>
      <c r="V23" s="8" t="s">
        <v>122</v>
      </c>
      <c r="W23" s="8" t="s">
        <v>123</v>
      </c>
      <c r="X23" s="8">
        <f>((150-O23)/100)*2+(Q23/100)*2+(R23/100)*8+((-S23-7)*30)+((-T23/10)*7.5+((-U23/10)*7.5+((V23))*20+((W23))*20))</f>
        <v>76.2063</v>
      </c>
    </row>
    <row r="24" ht="15.75" spans="1:25">
      <c r="A24" t="s">
        <v>124</v>
      </c>
      <c r="B24" s="3" t="s">
        <v>25</v>
      </c>
      <c r="C24" s="6">
        <v>2</v>
      </c>
      <c r="D24" s="6">
        <v>1</v>
      </c>
      <c r="E24" s="6">
        <v>0</v>
      </c>
      <c r="F24" s="7">
        <v>500</v>
      </c>
      <c r="G24" s="7">
        <v>0.6</v>
      </c>
      <c r="H24" s="7">
        <v>0</v>
      </c>
      <c r="I24" s="7">
        <v>40</v>
      </c>
      <c r="J24" s="7">
        <v>20</v>
      </c>
      <c r="K24" s="7">
        <v>0.25</v>
      </c>
      <c r="L24" s="7">
        <v>0.05</v>
      </c>
      <c r="M24" s="7">
        <v>10</v>
      </c>
      <c r="N24" s="7">
        <v>5</v>
      </c>
      <c r="O24" s="8" t="s">
        <v>105</v>
      </c>
      <c r="P24" s="8" t="s">
        <v>97</v>
      </c>
      <c r="Q24" s="8" t="s">
        <v>98</v>
      </c>
      <c r="R24" s="8" t="s">
        <v>125</v>
      </c>
      <c r="S24" s="8" t="s">
        <v>126</v>
      </c>
      <c r="T24" s="8" t="s">
        <v>127</v>
      </c>
      <c r="U24" s="8" t="s">
        <v>128</v>
      </c>
      <c r="V24" s="8" t="s">
        <v>129</v>
      </c>
      <c r="W24" s="8" t="s">
        <v>130</v>
      </c>
      <c r="X24" s="8">
        <f>((150-O24)/100)*2+(Q24/100)*2+(R24/100)*8+((-S24-7)*30)+((-T24/10)*7.5+((-U24/10)*7.5+((V24))*20+((W24))*20))</f>
        <v>69.5444</v>
      </c>
    </row>
    <row r="25" ht="15.75" spans="1:25">
      <c r="A25" t="s">
        <v>131</v>
      </c>
      <c r="B25" s="3" t="s">
        <v>25</v>
      </c>
      <c r="C25" s="6">
        <v>2</v>
      </c>
      <c r="D25" s="6">
        <v>1</v>
      </c>
      <c r="E25" s="6">
        <v>0</v>
      </c>
      <c r="F25" s="7">
        <v>500</v>
      </c>
      <c r="G25" s="7">
        <v>0.5</v>
      </c>
      <c r="H25" s="7">
        <v>0</v>
      </c>
      <c r="I25" s="7">
        <v>60</v>
      </c>
      <c r="J25" s="7">
        <v>20</v>
      </c>
      <c r="K25" s="7">
        <v>0.3</v>
      </c>
      <c r="L25" s="7">
        <v>0.05</v>
      </c>
      <c r="M25" s="7">
        <v>10</v>
      </c>
      <c r="N25" s="7">
        <v>5</v>
      </c>
      <c r="O25" s="8" t="s">
        <v>132</v>
      </c>
      <c r="P25" s="8" t="s">
        <v>133</v>
      </c>
      <c r="Q25" s="8" t="s">
        <v>117</v>
      </c>
      <c r="R25" s="8" t="s">
        <v>134</v>
      </c>
      <c r="S25" s="8" t="s">
        <v>135</v>
      </c>
      <c r="T25" s="8" t="s">
        <v>136</v>
      </c>
      <c r="U25" s="8" t="s">
        <v>137</v>
      </c>
      <c r="V25" s="8" t="s">
        <v>138</v>
      </c>
      <c r="W25" s="8" t="s">
        <v>139</v>
      </c>
      <c r="X25" s="8">
        <f>((150-O25)/100)*2+(Q25/100)*2+(R25/100)*8+((-S25-7)*30)+((-T25/10)*7.5+((-U25/10)*7.5+((V25))*20+((W25))*20))</f>
        <v>73.608</v>
      </c>
    </row>
    <row r="26" ht="15.75" spans="1:25">
      <c r="A26" t="s">
        <v>140</v>
      </c>
      <c r="B26" s="3" t="s">
        <v>25</v>
      </c>
      <c r="C26" s="6">
        <v>2</v>
      </c>
      <c r="D26" s="6">
        <v>1</v>
      </c>
      <c r="E26" s="6">
        <v>0</v>
      </c>
      <c r="F26" s="7">
        <v>500</v>
      </c>
      <c r="G26" s="7">
        <v>0.4</v>
      </c>
      <c r="H26" s="7">
        <v>0</v>
      </c>
      <c r="I26" s="7">
        <v>40</v>
      </c>
      <c r="J26" s="7">
        <v>20</v>
      </c>
      <c r="K26" s="7">
        <v>0.4</v>
      </c>
      <c r="L26" s="7">
        <v>0.05</v>
      </c>
      <c r="M26" s="7">
        <v>10</v>
      </c>
      <c r="N26" s="7">
        <v>5</v>
      </c>
      <c r="O26" s="8" t="s">
        <v>105</v>
      </c>
      <c r="P26" s="8" t="s">
        <v>141</v>
      </c>
      <c r="Q26" s="8" t="s">
        <v>142</v>
      </c>
      <c r="R26" s="8" t="s">
        <v>143</v>
      </c>
      <c r="S26" s="8" t="s">
        <v>144</v>
      </c>
      <c r="T26" s="8" t="s">
        <v>145</v>
      </c>
      <c r="U26" s="8" t="s">
        <v>146</v>
      </c>
      <c r="V26" s="8" t="s">
        <v>147</v>
      </c>
      <c r="W26" s="8" t="s">
        <v>148</v>
      </c>
      <c r="X26" s="8">
        <f>((150-O26)/100)*2+(Q26/100)*2+(R26/100)*8+((-S26-7)*30)+((-T26/10)*7.5+((-U26/10)*7.5+((V26))*20+((W26))*20))</f>
        <v>74.98015</v>
      </c>
    </row>
    <row r="27" ht="15.75" spans="1:25">
      <c r="A27" t="s">
        <v>149</v>
      </c>
      <c r="B27" s="3" t="s">
        <v>25</v>
      </c>
      <c r="C27" s="6">
        <v>2</v>
      </c>
      <c r="D27" s="6">
        <v>1</v>
      </c>
      <c r="E27" s="6">
        <v>0</v>
      </c>
      <c r="F27" s="7">
        <v>500</v>
      </c>
      <c r="G27" s="7">
        <v>0.6</v>
      </c>
      <c r="H27" s="7">
        <v>0</v>
      </c>
      <c r="I27" s="7">
        <v>40</v>
      </c>
      <c r="J27" s="7">
        <v>20</v>
      </c>
      <c r="K27" s="7">
        <v>0.4</v>
      </c>
      <c r="L27" s="7">
        <v>0.05</v>
      </c>
      <c r="M27" s="7">
        <v>10</v>
      </c>
      <c r="N27" s="7">
        <v>5</v>
      </c>
      <c r="O27" s="8" t="s">
        <v>105</v>
      </c>
      <c r="P27" s="8" t="s">
        <v>150</v>
      </c>
      <c r="Q27" s="8" t="s">
        <v>98</v>
      </c>
      <c r="R27" s="8" t="s">
        <v>151</v>
      </c>
      <c r="S27" s="8" t="s">
        <v>152</v>
      </c>
      <c r="T27" s="8" t="s">
        <v>153</v>
      </c>
      <c r="U27" s="8" t="s">
        <v>154</v>
      </c>
      <c r="V27" s="8" t="s">
        <v>155</v>
      </c>
      <c r="W27" s="8" t="s">
        <v>156</v>
      </c>
      <c r="X27" s="8">
        <f>((150-O27)/100)*2+(Q27/100)*2+(R27/100)*8+((-S27-7)*30)+((-T27/10)*7.5+((-U27/10)*7.5+((V27))*20+((W27))*20))</f>
        <v>74.49055</v>
      </c>
    </row>
    <row r="28" ht="15.75" spans="1:25">
      <c r="A28" t="s">
        <v>157</v>
      </c>
      <c r="B28" s="3" t="s">
        <v>25</v>
      </c>
      <c r="C28" s="6">
        <v>2</v>
      </c>
      <c r="D28" s="6">
        <v>1</v>
      </c>
      <c r="E28" s="6">
        <v>0</v>
      </c>
      <c r="F28" s="7">
        <v>550</v>
      </c>
      <c r="G28" s="7">
        <v>0.3</v>
      </c>
      <c r="H28" s="7">
        <v>0</v>
      </c>
      <c r="I28" s="7">
        <v>60</v>
      </c>
      <c r="J28" s="7">
        <v>20</v>
      </c>
      <c r="K28" s="7">
        <v>0.2</v>
      </c>
      <c r="L28" s="7">
        <v>0.05</v>
      </c>
      <c r="M28" s="7">
        <v>10</v>
      </c>
      <c r="N28" s="7">
        <v>5</v>
      </c>
      <c r="O28" s="8" t="s">
        <v>158</v>
      </c>
      <c r="P28" s="8" t="s">
        <v>159</v>
      </c>
      <c r="Q28" s="8" t="s">
        <v>107</v>
      </c>
      <c r="R28" s="8" t="s">
        <v>160</v>
      </c>
      <c r="S28" s="8" t="s">
        <v>161</v>
      </c>
      <c r="T28" s="8" t="s">
        <v>162</v>
      </c>
      <c r="U28" s="8" t="s">
        <v>163</v>
      </c>
      <c r="V28" s="8" t="s">
        <v>53</v>
      </c>
      <c r="W28" s="8" t="s">
        <v>164</v>
      </c>
      <c r="X28" s="8">
        <f>((150-O28)/100)*2+(Q28/100)*2+(R28/100)*8+((-S28-7)*30)+((-T28/10)*7.5+((-U28/10)*7.5+((V28))*20+((W28))*20))</f>
        <v>73.4348</v>
      </c>
    </row>
    <row r="29" ht="15.75" spans="1:25">
      <c r="A29" t="s">
        <v>165</v>
      </c>
      <c r="B29" s="3" t="s">
        <v>25</v>
      </c>
      <c r="C29" s="6">
        <v>2</v>
      </c>
      <c r="D29" s="6">
        <v>1</v>
      </c>
      <c r="E29" s="6">
        <v>0</v>
      </c>
      <c r="F29" s="7">
        <v>550</v>
      </c>
      <c r="G29" s="7">
        <v>0.6</v>
      </c>
      <c r="H29" s="7">
        <v>0</v>
      </c>
      <c r="I29" s="7">
        <v>60</v>
      </c>
      <c r="J29" s="7">
        <v>20</v>
      </c>
      <c r="K29" s="7">
        <v>0.4</v>
      </c>
      <c r="L29" s="7">
        <v>0.05</v>
      </c>
      <c r="M29" s="7">
        <v>30</v>
      </c>
      <c r="N29" s="7">
        <v>5</v>
      </c>
      <c r="O29" s="8" t="s">
        <v>115</v>
      </c>
      <c r="P29" s="8" t="s">
        <v>166</v>
      </c>
      <c r="Q29" s="8" t="s">
        <v>117</v>
      </c>
      <c r="R29" s="8" t="s">
        <v>167</v>
      </c>
      <c r="S29" s="8" t="s">
        <v>168</v>
      </c>
      <c r="T29" s="8" t="s">
        <v>72</v>
      </c>
      <c r="U29" s="8" t="s">
        <v>169</v>
      </c>
      <c r="V29" s="8" t="s">
        <v>170</v>
      </c>
      <c r="W29" s="8" t="s">
        <v>94</v>
      </c>
      <c r="X29" s="8">
        <f>((150-O29)/100)*2+(Q29/100)*2+(R29/100)*8+((-S29-7)*30)+((-T29/10)*7.5+((-U29/10)*7.5+((V29))*20+((W29))*20))</f>
        <v>77.65215</v>
      </c>
    </row>
    <row r="30" ht="15.75" spans="1:25">
      <c r="A30" t="s">
        <v>171</v>
      </c>
      <c r="B30" s="3" t="s">
        <v>25</v>
      </c>
      <c r="C30" s="6">
        <v>2</v>
      </c>
      <c r="D30" s="6">
        <v>1</v>
      </c>
      <c r="E30" s="6">
        <v>0</v>
      </c>
      <c r="F30" s="7">
        <v>550</v>
      </c>
      <c r="G30" s="7">
        <v>0.5</v>
      </c>
      <c r="H30" s="7">
        <v>0</v>
      </c>
      <c r="I30" s="7">
        <v>80</v>
      </c>
      <c r="J30" s="7">
        <v>20</v>
      </c>
      <c r="K30" s="7">
        <v>0.25</v>
      </c>
      <c r="L30" s="7">
        <v>0.05</v>
      </c>
      <c r="M30" s="7">
        <v>10</v>
      </c>
      <c r="N30" s="7">
        <v>5</v>
      </c>
      <c r="O30" s="8" t="s">
        <v>172</v>
      </c>
      <c r="P30" s="8" t="s">
        <v>173</v>
      </c>
      <c r="Q30" s="8" t="s">
        <v>142</v>
      </c>
      <c r="R30" s="8" t="s">
        <v>174</v>
      </c>
      <c r="S30" s="8" t="s">
        <v>175</v>
      </c>
      <c r="T30" s="8" t="s">
        <v>176</v>
      </c>
      <c r="U30" s="8" t="s">
        <v>177</v>
      </c>
      <c r="V30" s="8" t="s">
        <v>41</v>
      </c>
      <c r="W30" s="8" t="s">
        <v>178</v>
      </c>
      <c r="X30" s="8">
        <f>((150-O30)/100)*2+(Q30/100)*2+(R30/100)*8+((-S30-7)*30)+((-T30/10)*7.5+((-U30/10)*7.5+((V30))*20+((W30))*20))</f>
        <v>72.15575</v>
      </c>
    </row>
    <row r="31" ht="15.75" spans="1:25">
      <c r="A31" t="s">
        <v>179</v>
      </c>
      <c r="B31" s="3" t="s">
        <v>25</v>
      </c>
      <c r="C31" s="6">
        <v>2</v>
      </c>
      <c r="D31" s="6">
        <v>1</v>
      </c>
      <c r="E31" s="6">
        <v>0</v>
      </c>
      <c r="F31" s="7">
        <v>550</v>
      </c>
      <c r="G31" s="7">
        <v>0.4</v>
      </c>
      <c r="H31" s="7">
        <v>0</v>
      </c>
      <c r="I31" s="7">
        <v>40</v>
      </c>
      <c r="J31" s="7">
        <v>20</v>
      </c>
      <c r="K31" s="7">
        <v>0.25</v>
      </c>
      <c r="L31" s="7">
        <v>0.05</v>
      </c>
      <c r="M31" s="7">
        <v>10</v>
      </c>
      <c r="N31" s="7">
        <v>5</v>
      </c>
      <c r="O31" s="8" t="s">
        <v>180</v>
      </c>
      <c r="P31" s="8" t="s">
        <v>181</v>
      </c>
      <c r="Q31" s="8" t="s">
        <v>117</v>
      </c>
      <c r="R31" s="8" t="s">
        <v>182</v>
      </c>
      <c r="S31" s="8" t="s">
        <v>183</v>
      </c>
      <c r="T31" s="8" t="s">
        <v>184</v>
      </c>
      <c r="U31" s="8" t="s">
        <v>185</v>
      </c>
      <c r="V31" s="8" t="s">
        <v>186</v>
      </c>
      <c r="W31" s="8" t="s">
        <v>113</v>
      </c>
      <c r="X31" s="8">
        <f>((150-O31)/100)*2+(Q31/100)*2+(R31/100)*8+((-S31-7)*30)+((-T31/10)*7.5+((-U31/10)*7.5+((V31))*20+((W31))*20))</f>
        <v>71.3568</v>
      </c>
    </row>
    <row r="32" ht="15.75" spans="1:25">
      <c r="A32" t="s">
        <v>187</v>
      </c>
      <c r="B32" s="3" t="s">
        <v>25</v>
      </c>
      <c r="C32" s="6">
        <v>2</v>
      </c>
      <c r="D32" s="6">
        <v>1</v>
      </c>
      <c r="E32" s="6">
        <v>0</v>
      </c>
      <c r="F32" s="7">
        <v>550</v>
      </c>
      <c r="G32" s="7">
        <v>0.4</v>
      </c>
      <c r="H32" s="7">
        <v>0</v>
      </c>
      <c r="I32" s="7">
        <v>40</v>
      </c>
      <c r="J32" s="7">
        <v>20</v>
      </c>
      <c r="K32" s="7">
        <v>0.4</v>
      </c>
      <c r="L32" s="7">
        <v>0.05</v>
      </c>
      <c r="M32" s="7">
        <v>10</v>
      </c>
      <c r="N32" s="7">
        <v>5</v>
      </c>
      <c r="O32" s="8" t="s">
        <v>180</v>
      </c>
      <c r="P32" s="8" t="s">
        <v>188</v>
      </c>
      <c r="Q32" s="8" t="s">
        <v>142</v>
      </c>
      <c r="R32" s="8" t="s">
        <v>189</v>
      </c>
      <c r="S32" s="8" t="s">
        <v>135</v>
      </c>
      <c r="T32" s="8" t="s">
        <v>190</v>
      </c>
      <c r="U32" s="8" t="s">
        <v>191</v>
      </c>
      <c r="V32" s="8" t="s">
        <v>192</v>
      </c>
      <c r="W32" s="8" t="s">
        <v>193</v>
      </c>
      <c r="X32" s="8">
        <f>((150-O32)/100)*2+(Q32/100)*2+(R32/100)*8+((-S32-7)*30)+((-T32/10)*7.5+((-U32/10)*7.5+((V32))*20+((W32))*20))</f>
        <v>73.06525</v>
      </c>
    </row>
    <row r="33" ht="15.75" spans="1:24">
      <c r="A33" t="s">
        <v>194</v>
      </c>
      <c r="B33" s="3" t="s">
        <v>25</v>
      </c>
      <c r="C33" s="6">
        <v>2</v>
      </c>
      <c r="D33" s="6">
        <v>1</v>
      </c>
      <c r="E33" s="6">
        <v>0</v>
      </c>
      <c r="F33" s="7">
        <v>600</v>
      </c>
      <c r="G33" s="7">
        <v>0.3</v>
      </c>
      <c r="H33" s="7">
        <v>0</v>
      </c>
      <c r="I33" s="7">
        <v>40</v>
      </c>
      <c r="J33" s="7">
        <v>20</v>
      </c>
      <c r="K33" s="7">
        <v>0.4</v>
      </c>
      <c r="L33" s="7">
        <v>0.05</v>
      </c>
      <c r="M33" s="7">
        <v>30</v>
      </c>
      <c r="N33" s="7">
        <v>5</v>
      </c>
      <c r="O33" s="8" t="s">
        <v>195</v>
      </c>
      <c r="P33" s="8" t="s">
        <v>196</v>
      </c>
      <c r="Q33" s="8" t="s">
        <v>197</v>
      </c>
      <c r="R33" s="8" t="s">
        <v>198</v>
      </c>
      <c r="S33" s="8" t="s">
        <v>199</v>
      </c>
      <c r="T33" s="8" t="s">
        <v>200</v>
      </c>
      <c r="U33" s="8" t="s">
        <v>201</v>
      </c>
      <c r="V33" s="8" t="s">
        <v>202</v>
      </c>
      <c r="W33" s="8" t="s">
        <v>203</v>
      </c>
      <c r="X33" s="8">
        <f>((150-O33)/100)*2+(Q33/100)*2+(R33/100)*8+((-S33-7)*30)+((-T33/10)*7.5+((-U33/10)*7.5+((V33))*20+((W33))*20))</f>
        <v>80.5523</v>
      </c>
    </row>
    <row r="34" ht="15.75" spans="1:24">
      <c r="A34" t="s">
        <v>204</v>
      </c>
      <c r="B34" s="3" t="s">
        <v>25</v>
      </c>
      <c r="C34" s="6">
        <v>2</v>
      </c>
      <c r="D34" s="6">
        <v>1</v>
      </c>
      <c r="E34" s="6">
        <v>0</v>
      </c>
      <c r="F34" s="7">
        <v>600</v>
      </c>
      <c r="G34" s="7">
        <v>0.3</v>
      </c>
      <c r="H34" s="7">
        <v>0</v>
      </c>
      <c r="I34" s="7">
        <v>80</v>
      </c>
      <c r="J34" s="7">
        <v>20</v>
      </c>
      <c r="K34" s="7">
        <v>0.2</v>
      </c>
      <c r="L34" s="7">
        <v>0.05</v>
      </c>
      <c r="M34" s="7">
        <v>10</v>
      </c>
      <c r="N34" s="7">
        <v>5</v>
      </c>
      <c r="O34" s="8" t="s">
        <v>180</v>
      </c>
      <c r="P34" s="8" t="s">
        <v>205</v>
      </c>
      <c r="Q34" s="8" t="s">
        <v>107</v>
      </c>
      <c r="R34" s="8" t="s">
        <v>206</v>
      </c>
      <c r="S34" s="8" t="s">
        <v>207</v>
      </c>
      <c r="T34" s="8" t="s">
        <v>208</v>
      </c>
      <c r="U34" s="8" t="s">
        <v>209</v>
      </c>
      <c r="V34" s="8" t="s">
        <v>210</v>
      </c>
      <c r="W34" s="8" t="s">
        <v>211</v>
      </c>
      <c r="X34" s="8">
        <f>((150-O34)/100)*2+(Q34/100)*2+(R34/100)*8+((-S34-7)*30)+((-T34/10)*7.5+((-U34/10)*7.5+((V34))*20+((W34))*20))</f>
        <v>71.0984</v>
      </c>
    </row>
    <row r="35" ht="15.75" spans="1:24">
      <c r="A35" t="s">
        <v>212</v>
      </c>
      <c r="B35" s="3" t="s">
        <v>25</v>
      </c>
      <c r="C35" s="6">
        <v>2</v>
      </c>
      <c r="D35" s="6">
        <v>1</v>
      </c>
      <c r="E35" s="6">
        <v>0</v>
      </c>
      <c r="F35" s="7">
        <v>600</v>
      </c>
      <c r="G35" s="7">
        <v>0.3</v>
      </c>
      <c r="H35" s="7">
        <v>0</v>
      </c>
      <c r="I35" s="7">
        <v>60</v>
      </c>
      <c r="J35" s="7">
        <v>20</v>
      </c>
      <c r="K35" s="7">
        <v>0.4</v>
      </c>
      <c r="L35" s="7">
        <v>0.05</v>
      </c>
      <c r="M35" s="7">
        <v>20</v>
      </c>
      <c r="N35" s="7">
        <v>5</v>
      </c>
      <c r="O35" s="8" t="s">
        <v>86</v>
      </c>
      <c r="P35" s="8" t="s">
        <v>213</v>
      </c>
      <c r="Q35" s="8" t="s">
        <v>98</v>
      </c>
      <c r="R35" s="8" t="s">
        <v>214</v>
      </c>
      <c r="S35" s="8" t="s">
        <v>215</v>
      </c>
      <c r="T35" s="8" t="s">
        <v>216</v>
      </c>
      <c r="U35" s="8" t="s">
        <v>217</v>
      </c>
      <c r="V35" s="8" t="s">
        <v>218</v>
      </c>
      <c r="W35" s="8" t="s">
        <v>219</v>
      </c>
      <c r="X35" s="8">
        <f>((150-O35)/100)*2+(Q35/100)*2+(R35/100)*8+((-S35-7)*30)+((-T35/10)*7.5+((-U35/10)*7.5+((V35))*20+((W35))*20))</f>
        <v>78.55375</v>
      </c>
    </row>
    <row r="36" ht="15.75" spans="1:24">
      <c r="A36" t="s">
        <v>220</v>
      </c>
      <c r="B36" s="3" t="s">
        <v>25</v>
      </c>
      <c r="C36" s="6">
        <v>2</v>
      </c>
      <c r="D36" s="6">
        <v>1</v>
      </c>
      <c r="E36" s="6">
        <v>0</v>
      </c>
      <c r="F36" s="7">
        <v>600</v>
      </c>
      <c r="G36" s="7">
        <v>0.5</v>
      </c>
      <c r="H36" s="7">
        <v>0</v>
      </c>
      <c r="I36" s="7">
        <v>40</v>
      </c>
      <c r="J36" s="7">
        <v>20</v>
      </c>
      <c r="K36" s="7">
        <v>0.35</v>
      </c>
      <c r="L36" s="7">
        <v>0.05</v>
      </c>
      <c r="M36" s="7">
        <v>20</v>
      </c>
      <c r="N36" s="7">
        <v>5</v>
      </c>
      <c r="O36" s="8" t="s">
        <v>221</v>
      </c>
      <c r="P36" s="8" t="s">
        <v>222</v>
      </c>
      <c r="Q36" s="8" t="s">
        <v>223</v>
      </c>
      <c r="R36" s="8" t="s">
        <v>224</v>
      </c>
      <c r="S36" s="8" t="s">
        <v>90</v>
      </c>
      <c r="T36" s="8" t="s">
        <v>225</v>
      </c>
      <c r="U36" s="8" t="s">
        <v>226</v>
      </c>
      <c r="V36" s="8" t="s">
        <v>138</v>
      </c>
      <c r="W36" s="8" t="s">
        <v>193</v>
      </c>
      <c r="X36" s="8">
        <f>((150-O36)/100)*2+(Q36/100)*2+(R36/100)*8+((-S36-7)*30)+((-T36/10)*7.5+((-U36/10)*7.5+((V36))*20+((W36))*20))</f>
        <v>77.6452</v>
      </c>
    </row>
    <row r="37" ht="15.75" spans="1:24">
      <c r="A37" t="s">
        <v>227</v>
      </c>
      <c r="B37" s="3" t="s">
        <v>25</v>
      </c>
      <c r="C37" s="6">
        <v>2</v>
      </c>
      <c r="D37" s="6">
        <v>1</v>
      </c>
      <c r="E37" s="6">
        <v>0</v>
      </c>
      <c r="F37" s="7">
        <v>600</v>
      </c>
      <c r="G37" s="7">
        <v>0.4</v>
      </c>
      <c r="H37" s="7">
        <v>0</v>
      </c>
      <c r="I37" s="7">
        <v>40</v>
      </c>
      <c r="J37" s="7">
        <v>20</v>
      </c>
      <c r="K37" s="7">
        <v>0.35</v>
      </c>
      <c r="L37" s="7">
        <v>0.05</v>
      </c>
      <c r="M37" s="7">
        <v>10</v>
      </c>
      <c r="N37" s="7">
        <v>5</v>
      </c>
      <c r="O37" s="8" t="s">
        <v>228</v>
      </c>
      <c r="P37" s="8" t="s">
        <v>229</v>
      </c>
      <c r="Q37" s="8" t="s">
        <v>197</v>
      </c>
      <c r="R37" s="8" t="s">
        <v>230</v>
      </c>
      <c r="S37" s="8" t="s">
        <v>231</v>
      </c>
      <c r="T37" s="8" t="s">
        <v>232</v>
      </c>
      <c r="U37" s="8" t="s">
        <v>233</v>
      </c>
      <c r="V37" s="8" t="s">
        <v>234</v>
      </c>
      <c r="W37" s="8" t="s">
        <v>235</v>
      </c>
      <c r="X37" s="8">
        <f>((150-O37)/100)*2+(Q37/100)*2+(R37/100)*8+((-S37-7)*30)+((-T37/10)*7.5+((-U37/10)*7.5+((V37))*20+((W37))*20))</f>
        <v>74.8228</v>
      </c>
    </row>
    <row r="38" ht="15.75" spans="1:24">
      <c r="A38" t="s">
        <v>236</v>
      </c>
      <c r="B38" s="3" t="s">
        <v>25</v>
      </c>
      <c r="C38" s="6">
        <v>2</v>
      </c>
      <c r="D38" s="6">
        <v>1</v>
      </c>
      <c r="E38" s="6">
        <v>0</v>
      </c>
      <c r="F38" s="7">
        <v>600</v>
      </c>
      <c r="G38" s="7">
        <v>0.5</v>
      </c>
      <c r="H38" s="7">
        <v>0</v>
      </c>
      <c r="I38" s="7">
        <v>40</v>
      </c>
      <c r="J38" s="7">
        <v>20</v>
      </c>
      <c r="K38" s="7">
        <v>0.35</v>
      </c>
      <c r="L38" s="7">
        <v>0.05</v>
      </c>
      <c r="M38" s="7">
        <v>10</v>
      </c>
      <c r="N38" s="7">
        <v>5</v>
      </c>
      <c r="O38" s="8" t="s">
        <v>228</v>
      </c>
      <c r="P38" s="8" t="s">
        <v>237</v>
      </c>
      <c r="Q38" s="8" t="s">
        <v>107</v>
      </c>
      <c r="R38" s="8" t="s">
        <v>238</v>
      </c>
      <c r="S38" s="8" t="s">
        <v>239</v>
      </c>
      <c r="T38" s="8" t="s">
        <v>240</v>
      </c>
      <c r="U38" s="8" t="s">
        <v>241</v>
      </c>
      <c r="V38" s="8" t="s">
        <v>242</v>
      </c>
      <c r="W38" s="8" t="s">
        <v>113</v>
      </c>
      <c r="X38" s="8">
        <f>((150-O38)/100)*2+(Q38/100)*2+(R38/100)*8+((-S38-7)*30)+((-T38/10)*7.5+((-U38/10)*7.5+((V38))*20+((W38))*20))</f>
        <v>72.30945</v>
      </c>
    </row>
    <row r="39" ht="15.75" spans="1:24">
      <c r="A39" t="s">
        <v>243</v>
      </c>
      <c r="B39" s="3" t="s">
        <v>25</v>
      </c>
      <c r="C39" s="6">
        <v>2</v>
      </c>
      <c r="D39" s="6">
        <v>1</v>
      </c>
      <c r="E39" s="6">
        <v>0</v>
      </c>
      <c r="F39" s="7">
        <v>650</v>
      </c>
      <c r="G39" s="7">
        <v>0.3</v>
      </c>
      <c r="H39" s="7">
        <v>0</v>
      </c>
      <c r="I39" s="7">
        <v>80</v>
      </c>
      <c r="J39" s="7">
        <v>20</v>
      </c>
      <c r="K39" s="7">
        <v>0.4</v>
      </c>
      <c r="L39" s="7">
        <v>0.05</v>
      </c>
      <c r="M39" s="7">
        <v>30</v>
      </c>
      <c r="N39" s="7">
        <v>5</v>
      </c>
      <c r="O39" s="8" t="s">
        <v>244</v>
      </c>
      <c r="P39" s="8" t="s">
        <v>245</v>
      </c>
      <c r="Q39" s="8" t="s">
        <v>246</v>
      </c>
      <c r="R39" s="8" t="s">
        <v>247</v>
      </c>
      <c r="S39" s="8" t="s">
        <v>248</v>
      </c>
      <c r="T39" s="8" t="s">
        <v>249</v>
      </c>
      <c r="U39" s="8" t="s">
        <v>250</v>
      </c>
      <c r="V39" s="8" t="s">
        <v>138</v>
      </c>
      <c r="W39" s="8" t="s">
        <v>54</v>
      </c>
      <c r="X39" s="8">
        <f>((150-O39)/100)*2+(Q39/100)*2+(R39/100)*8+((-S39-7)*30)+((-T39/10)*7.5+((-U39/10)*7.5+((V39))*20+((W39))*20))</f>
        <v>74.55245</v>
      </c>
    </row>
    <row r="40" ht="15" spans="1:24">
      <c r="A40" t="s">
        <v>251</v>
      </c>
      <c r="B40" s="3" t="s">
        <v>25</v>
      </c>
      <c r="C40" s="6">
        <v>2</v>
      </c>
      <c r="D40" s="6">
        <v>1</v>
      </c>
      <c r="E40" s="6">
        <v>0</v>
      </c>
      <c r="F40" s="10">
        <v>650</v>
      </c>
      <c r="G40" s="10">
        <v>0.4</v>
      </c>
      <c r="H40" s="10">
        <v>0</v>
      </c>
      <c r="I40" s="10">
        <v>40</v>
      </c>
      <c r="J40" s="10">
        <v>20</v>
      </c>
      <c r="K40" s="10">
        <v>0.15</v>
      </c>
      <c r="L40" s="10">
        <v>0.05</v>
      </c>
      <c r="M40" s="10">
        <v>10</v>
      </c>
      <c r="N40" s="10">
        <v>5</v>
      </c>
      <c r="O40" s="11" t="s">
        <v>252</v>
      </c>
      <c r="P40" s="11" t="s">
        <v>253</v>
      </c>
      <c r="Q40" s="11" t="s">
        <v>246</v>
      </c>
      <c r="R40" s="11" t="s">
        <v>254</v>
      </c>
      <c r="S40" s="11" t="s">
        <v>255</v>
      </c>
      <c r="T40" s="11" t="s">
        <v>256</v>
      </c>
      <c r="U40" s="11" t="s">
        <v>257</v>
      </c>
      <c r="V40" s="11" t="s">
        <v>258</v>
      </c>
      <c r="W40" s="11" t="s">
        <v>259</v>
      </c>
      <c r="X40" s="8">
        <f>((150-O40)/100)*2+(Q40/100)*2+(R40/100)*8+((-S40-7)*30)+((-T40/10)*7.5+((-U40/10)*7.5+((V40))*20+((W40))*20))</f>
        <v>73.0171</v>
      </c>
    </row>
    <row r="41" ht="15" spans="1:24">
      <c r="A41" t="s">
        <v>260</v>
      </c>
      <c r="B41" s="3" t="s">
        <v>25</v>
      </c>
      <c r="C41" s="6">
        <v>2</v>
      </c>
      <c r="D41" s="6">
        <v>1</v>
      </c>
      <c r="E41" s="6">
        <v>0</v>
      </c>
      <c r="F41" s="10">
        <v>650</v>
      </c>
      <c r="G41" s="10">
        <v>0.6</v>
      </c>
      <c r="H41" s="10">
        <v>0</v>
      </c>
      <c r="I41" s="10">
        <v>40</v>
      </c>
      <c r="J41" s="10">
        <v>20</v>
      </c>
      <c r="K41" s="10">
        <v>0.4</v>
      </c>
      <c r="L41" s="10">
        <v>0.05</v>
      </c>
      <c r="M41" s="10">
        <v>30</v>
      </c>
      <c r="N41" s="10">
        <v>5</v>
      </c>
      <c r="O41" s="11" t="s">
        <v>261</v>
      </c>
      <c r="P41" s="11" t="s">
        <v>262</v>
      </c>
      <c r="Q41" s="11" t="s">
        <v>117</v>
      </c>
      <c r="R41" s="11" t="s">
        <v>214</v>
      </c>
      <c r="S41" s="11" t="s">
        <v>263</v>
      </c>
      <c r="T41" s="11" t="s">
        <v>264</v>
      </c>
      <c r="U41" s="11" t="s">
        <v>265</v>
      </c>
      <c r="V41" s="11" t="s">
        <v>266</v>
      </c>
      <c r="W41" s="11" t="s">
        <v>235</v>
      </c>
      <c r="X41" s="8">
        <f>((150-O41)/100)*2+(Q41/100)*2+(R41/100)*8+((-S41-7)*30)+((-T41/10)*7.5+((-U41/10)*7.5+((V41))*20+((W41))*20))</f>
        <v>77.6738</v>
      </c>
    </row>
    <row r="42" ht="15" spans="1:24">
      <c r="A42" t="s">
        <v>267</v>
      </c>
      <c r="B42" s="3" t="s">
        <v>25</v>
      </c>
      <c r="C42" s="6">
        <v>2</v>
      </c>
      <c r="D42" s="6">
        <v>1</v>
      </c>
      <c r="E42" s="6">
        <v>0</v>
      </c>
      <c r="F42" s="10">
        <v>650</v>
      </c>
      <c r="G42" s="10">
        <v>0.6</v>
      </c>
      <c r="H42" s="10">
        <v>0</v>
      </c>
      <c r="I42" s="10">
        <v>40</v>
      </c>
      <c r="J42" s="10">
        <v>20</v>
      </c>
      <c r="K42" s="10">
        <v>0.3</v>
      </c>
      <c r="L42" s="10">
        <v>0.05</v>
      </c>
      <c r="M42" s="10">
        <v>20</v>
      </c>
      <c r="N42" s="10">
        <v>5</v>
      </c>
      <c r="O42" s="11" t="s">
        <v>268</v>
      </c>
      <c r="P42" s="11" t="s">
        <v>269</v>
      </c>
      <c r="Q42" s="11" t="s">
        <v>142</v>
      </c>
      <c r="R42" s="11" t="s">
        <v>270</v>
      </c>
      <c r="S42" s="11" t="s">
        <v>271</v>
      </c>
      <c r="T42" s="11" t="s">
        <v>272</v>
      </c>
      <c r="U42" s="11" t="s">
        <v>273</v>
      </c>
      <c r="V42" s="11" t="s">
        <v>274</v>
      </c>
      <c r="W42" s="11" t="s">
        <v>113</v>
      </c>
      <c r="X42" s="8">
        <f>((150-O42)/100)*2+(Q42/100)*2+(R42/100)*8+((-S42-7)*30)+((-T42/10)*7.5+((-U42/10)*7.5+((V42))*20+((W42))*20))</f>
        <v>75.5227</v>
      </c>
    </row>
    <row r="43" ht="15" spans="1:24">
      <c r="A43" t="s">
        <v>275</v>
      </c>
      <c r="B43" s="3" t="s">
        <v>25</v>
      </c>
      <c r="C43" s="6">
        <v>2</v>
      </c>
      <c r="D43" s="6">
        <v>1</v>
      </c>
      <c r="E43" s="6">
        <v>0</v>
      </c>
      <c r="F43" s="10">
        <v>650</v>
      </c>
      <c r="G43" s="10">
        <v>0.4</v>
      </c>
      <c r="H43" s="10">
        <v>0</v>
      </c>
      <c r="I43" s="10">
        <v>80</v>
      </c>
      <c r="J43" s="10">
        <v>20</v>
      </c>
      <c r="K43" s="10">
        <v>0.35</v>
      </c>
      <c r="L43" s="10">
        <v>0.05</v>
      </c>
      <c r="M43" s="10">
        <v>10</v>
      </c>
      <c r="N43" s="10">
        <v>5</v>
      </c>
      <c r="O43" s="11" t="s">
        <v>276</v>
      </c>
      <c r="P43" s="11" t="s">
        <v>277</v>
      </c>
      <c r="Q43" s="11" t="s">
        <v>278</v>
      </c>
      <c r="R43" s="11" t="s">
        <v>279</v>
      </c>
      <c r="S43" s="11" t="s">
        <v>280</v>
      </c>
      <c r="T43" s="11" t="s">
        <v>281</v>
      </c>
      <c r="U43" s="11" t="s">
        <v>282</v>
      </c>
      <c r="V43" s="11" t="s">
        <v>283</v>
      </c>
      <c r="W43" s="11" t="s">
        <v>211</v>
      </c>
      <c r="X43" s="8">
        <f>((150-O43)/100)*2+(Q43/100)*2+(R43/100)*8+((-S43-7)*30)+((-T43/10)*7.5+((-U43/10)*7.5+((V43))*20+((W43))*20))</f>
        <v>73.2292</v>
      </c>
    </row>
    <row r="44" ht="15" spans="1:24">
      <c r="A44" t="s">
        <v>284</v>
      </c>
      <c r="B44" s="3" t="s">
        <v>25</v>
      </c>
      <c r="C44" s="6">
        <v>2</v>
      </c>
      <c r="D44" s="6">
        <v>1</v>
      </c>
      <c r="E44" s="6">
        <v>0</v>
      </c>
      <c r="F44" s="10">
        <v>650</v>
      </c>
      <c r="G44" s="10">
        <v>0.6</v>
      </c>
      <c r="H44" s="10">
        <v>0</v>
      </c>
      <c r="I44" s="10">
        <v>40</v>
      </c>
      <c r="J44" s="10">
        <v>20</v>
      </c>
      <c r="K44" s="10">
        <v>0.3</v>
      </c>
      <c r="L44" s="10">
        <v>0.05</v>
      </c>
      <c r="M44" s="10">
        <v>10</v>
      </c>
      <c r="N44" s="10">
        <v>5</v>
      </c>
      <c r="O44" s="11" t="s">
        <v>252</v>
      </c>
      <c r="P44" s="11" t="s">
        <v>285</v>
      </c>
      <c r="Q44" s="11" t="s">
        <v>286</v>
      </c>
      <c r="R44" s="11" t="s">
        <v>287</v>
      </c>
      <c r="S44" s="11" t="s">
        <v>288</v>
      </c>
      <c r="T44" s="11" t="s">
        <v>289</v>
      </c>
      <c r="U44" s="11" t="s">
        <v>290</v>
      </c>
      <c r="V44" s="11" t="s">
        <v>112</v>
      </c>
      <c r="W44" s="11" t="s">
        <v>291</v>
      </c>
      <c r="X44" s="8">
        <f>((150-O44)/100)*2+(Q44/100)*2+(R44/100)*8+((-S44-7)*30)+((-T44/10)*7.5+((-U44/10)*7.5+((V44))*20+((W44))*20))</f>
        <v>72.9498</v>
      </c>
    </row>
    <row r="45" ht="15" spans="1:24">
      <c r="A45" t="s">
        <v>292</v>
      </c>
      <c r="B45" s="3" t="s">
        <v>25</v>
      </c>
      <c r="C45" s="6">
        <v>2</v>
      </c>
      <c r="D45" s="6">
        <v>1</v>
      </c>
      <c r="E45" s="6">
        <v>0</v>
      </c>
      <c r="F45" s="10">
        <v>700</v>
      </c>
      <c r="G45" s="10">
        <v>0.6</v>
      </c>
      <c r="H45" s="10">
        <v>0</v>
      </c>
      <c r="I45" s="10">
        <v>60</v>
      </c>
      <c r="J45" s="10">
        <v>20</v>
      </c>
      <c r="K45" s="10">
        <v>0.35</v>
      </c>
      <c r="L45" s="10">
        <v>0.05</v>
      </c>
      <c r="M45" s="10">
        <v>40</v>
      </c>
      <c r="N45" s="10">
        <v>5</v>
      </c>
      <c r="O45" s="11" t="s">
        <v>293</v>
      </c>
      <c r="P45" s="11" t="s">
        <v>294</v>
      </c>
      <c r="Q45" s="11" t="s">
        <v>142</v>
      </c>
      <c r="R45" s="11" t="s">
        <v>295</v>
      </c>
      <c r="S45" s="11" t="s">
        <v>296</v>
      </c>
      <c r="T45" s="11" t="s">
        <v>297</v>
      </c>
      <c r="U45" s="11" t="s">
        <v>298</v>
      </c>
      <c r="V45" s="11" t="s">
        <v>299</v>
      </c>
      <c r="W45" s="11" t="s">
        <v>300</v>
      </c>
      <c r="X45" s="8">
        <f>((150-O45)/100)*2+(Q45/100)*2+(R45/100)*8+((-S45-7)*30)+((-T45/10)*7.5+((-U45/10)*7.5+((V45))*20+((W45))*20))</f>
        <v>80.39745</v>
      </c>
    </row>
    <row r="46" ht="15" spans="1:24">
      <c r="A46" t="s">
        <v>301</v>
      </c>
      <c r="B46" s="3" t="s">
        <v>25</v>
      </c>
      <c r="C46" s="6">
        <v>2</v>
      </c>
      <c r="D46" s="6">
        <v>1</v>
      </c>
      <c r="E46" s="6">
        <v>0</v>
      </c>
      <c r="F46" s="10">
        <v>700</v>
      </c>
      <c r="G46" s="10">
        <v>0.3</v>
      </c>
      <c r="H46" s="10">
        <v>0</v>
      </c>
      <c r="I46" s="10">
        <v>60</v>
      </c>
      <c r="J46" s="10">
        <v>20</v>
      </c>
      <c r="K46" s="10">
        <v>0.15</v>
      </c>
      <c r="L46" s="10">
        <v>0.05</v>
      </c>
      <c r="M46" s="10">
        <v>10</v>
      </c>
      <c r="N46" s="10">
        <v>5</v>
      </c>
      <c r="O46" s="11" t="s">
        <v>79</v>
      </c>
      <c r="P46" s="11" t="s">
        <v>302</v>
      </c>
      <c r="Q46" s="11" t="s">
        <v>88</v>
      </c>
      <c r="R46" s="11" t="s">
        <v>160</v>
      </c>
      <c r="S46" s="11" t="s">
        <v>303</v>
      </c>
      <c r="T46" s="11" t="s">
        <v>304</v>
      </c>
      <c r="U46" s="11" t="s">
        <v>305</v>
      </c>
      <c r="V46" s="11" t="s">
        <v>306</v>
      </c>
      <c r="W46" s="11" t="s">
        <v>300</v>
      </c>
      <c r="X46" s="8">
        <f>((150-O46)/100)*2+(Q46/100)*2+(R46/100)*8+((-S46-7)*30)+((-T46/10)*7.5+((-U46/10)*7.5+((V46))*20+((W46))*20))</f>
        <v>72.53575</v>
      </c>
    </row>
    <row r="47" ht="15" spans="1:24">
      <c r="A47" t="s">
        <v>307</v>
      </c>
      <c r="B47" s="3" t="s">
        <v>25</v>
      </c>
      <c r="C47" s="6">
        <v>2</v>
      </c>
      <c r="D47" s="6">
        <v>1</v>
      </c>
      <c r="E47" s="6">
        <v>0</v>
      </c>
      <c r="F47" s="10">
        <v>700</v>
      </c>
      <c r="G47" s="10">
        <v>0.6</v>
      </c>
      <c r="H47" s="10">
        <v>0</v>
      </c>
      <c r="I47" s="10">
        <v>40</v>
      </c>
      <c r="J47" s="10">
        <v>20</v>
      </c>
      <c r="K47" s="10">
        <v>0.35</v>
      </c>
      <c r="L47" s="10">
        <v>0.05</v>
      </c>
      <c r="M47" s="10">
        <v>30</v>
      </c>
      <c r="N47" s="10">
        <v>5</v>
      </c>
      <c r="O47" s="11" t="s">
        <v>308</v>
      </c>
      <c r="P47" s="11" t="s">
        <v>309</v>
      </c>
      <c r="Q47" s="11" t="s">
        <v>98</v>
      </c>
      <c r="R47" s="11" t="s">
        <v>247</v>
      </c>
      <c r="S47" s="11" t="s">
        <v>144</v>
      </c>
      <c r="T47" s="11" t="s">
        <v>310</v>
      </c>
      <c r="U47" s="11" t="s">
        <v>311</v>
      </c>
      <c r="V47" s="11" t="s">
        <v>234</v>
      </c>
      <c r="W47" s="11" t="s">
        <v>164</v>
      </c>
      <c r="X47" s="8">
        <f>((150-O47)/100)*2+(Q47/100)*2+(R47/100)*8+((-S47-7)*30)+((-T47/10)*7.5+((-U47/10)*7.5+((V47))*20+((W47))*20))</f>
        <v>75.5046</v>
      </c>
    </row>
    <row r="48" ht="15" spans="1:24">
      <c r="A48" t="s">
        <v>312</v>
      </c>
      <c r="B48" s="3" t="s">
        <v>25</v>
      </c>
      <c r="C48" s="6">
        <v>2</v>
      </c>
      <c r="D48" s="6">
        <v>1</v>
      </c>
      <c r="E48" s="6">
        <v>0</v>
      </c>
      <c r="F48" s="10">
        <v>700</v>
      </c>
      <c r="G48" s="10">
        <v>0.3</v>
      </c>
      <c r="H48" s="10">
        <v>0</v>
      </c>
      <c r="I48" s="10">
        <v>60</v>
      </c>
      <c r="J48" s="10">
        <v>20</v>
      </c>
      <c r="K48" s="10">
        <v>0.35</v>
      </c>
      <c r="L48" s="10">
        <v>0.05</v>
      </c>
      <c r="M48" s="10">
        <v>20</v>
      </c>
      <c r="N48" s="10">
        <v>5</v>
      </c>
      <c r="O48" s="11" t="s">
        <v>313</v>
      </c>
      <c r="P48" s="11" t="s">
        <v>314</v>
      </c>
      <c r="Q48" s="11" t="s">
        <v>142</v>
      </c>
      <c r="R48" s="11" t="s">
        <v>315</v>
      </c>
      <c r="S48" s="11" t="s">
        <v>316</v>
      </c>
      <c r="T48" s="11" t="s">
        <v>317</v>
      </c>
      <c r="U48" s="11" t="s">
        <v>318</v>
      </c>
      <c r="V48" s="11" t="s">
        <v>234</v>
      </c>
      <c r="W48" s="11" t="s">
        <v>319</v>
      </c>
      <c r="X48" s="8">
        <f>((150-O48)/100)*2+(Q48/100)*2+(R48/100)*8+((-S48-7)*30)+((-T48/10)*7.5+((-U48/10)*7.5+((V48))*20+((W48))*20))</f>
        <v>75.0579</v>
      </c>
    </row>
    <row r="49" ht="15" spans="1:24">
      <c r="A49" t="s">
        <v>320</v>
      </c>
      <c r="B49" s="3" t="s">
        <v>25</v>
      </c>
      <c r="C49" s="6">
        <v>2</v>
      </c>
      <c r="D49" s="6">
        <v>1</v>
      </c>
      <c r="E49" s="6">
        <v>0</v>
      </c>
      <c r="F49" s="10">
        <v>700</v>
      </c>
      <c r="G49" s="10">
        <v>0.4</v>
      </c>
      <c r="H49" s="10">
        <v>0</v>
      </c>
      <c r="I49" s="10">
        <v>40</v>
      </c>
      <c r="J49" s="10">
        <v>20</v>
      </c>
      <c r="K49" s="10">
        <v>0.3</v>
      </c>
      <c r="L49" s="10">
        <v>0.05</v>
      </c>
      <c r="M49" s="10">
        <v>10</v>
      </c>
      <c r="N49" s="10">
        <v>5</v>
      </c>
      <c r="O49" s="11" t="s">
        <v>321</v>
      </c>
      <c r="P49" s="11" t="s">
        <v>322</v>
      </c>
      <c r="Q49" s="11" t="s">
        <v>142</v>
      </c>
      <c r="R49" s="11" t="s">
        <v>323</v>
      </c>
      <c r="S49" s="11" t="s">
        <v>324</v>
      </c>
      <c r="T49" s="11" t="s">
        <v>325</v>
      </c>
      <c r="U49" s="11" t="s">
        <v>326</v>
      </c>
      <c r="V49" s="11" t="s">
        <v>41</v>
      </c>
      <c r="W49" s="11" t="s">
        <v>327</v>
      </c>
      <c r="X49" s="8">
        <f>((150-O49)/100)*2+(Q49/100)*2+(R49/100)*8+((-S49-7)*30)+((-T49/10)*7.5+((-U49/10)*7.5+((V49))*20+((W49))*20))</f>
        <v>71.9306</v>
      </c>
    </row>
    <row r="50" ht="15" spans="1:24">
      <c r="A50" t="s">
        <v>328</v>
      </c>
      <c r="B50" s="3" t="s">
        <v>25</v>
      </c>
      <c r="C50" s="6">
        <v>2</v>
      </c>
      <c r="D50" s="6">
        <v>1</v>
      </c>
      <c r="E50" s="6">
        <v>0</v>
      </c>
      <c r="F50" s="10">
        <v>750</v>
      </c>
      <c r="G50" s="10">
        <v>0.6</v>
      </c>
      <c r="H50" s="10">
        <v>0</v>
      </c>
      <c r="I50" s="10">
        <v>40</v>
      </c>
      <c r="J50" s="10">
        <v>20</v>
      </c>
      <c r="K50" s="10">
        <v>0.25</v>
      </c>
      <c r="L50" s="10">
        <v>0.05</v>
      </c>
      <c r="M50" s="10">
        <v>40</v>
      </c>
      <c r="N50" s="10">
        <v>5</v>
      </c>
      <c r="O50" s="11" t="s">
        <v>329</v>
      </c>
      <c r="P50" s="11" t="s">
        <v>330</v>
      </c>
      <c r="Q50" s="11" t="s">
        <v>286</v>
      </c>
      <c r="R50" s="11" t="s">
        <v>331</v>
      </c>
      <c r="S50" s="11" t="s">
        <v>332</v>
      </c>
      <c r="T50" s="11" t="s">
        <v>333</v>
      </c>
      <c r="U50" s="11" t="s">
        <v>334</v>
      </c>
      <c r="V50" s="11" t="s">
        <v>335</v>
      </c>
      <c r="W50" s="11" t="s">
        <v>164</v>
      </c>
      <c r="X50" s="8">
        <f>((150-O50)/100)*2+(Q50/100)*2+(R50/100)*8+((-S50-7)*30)+((-T50/10)*7.5+((-U50/10)*7.5+((V50))*20+((W50))*20))</f>
        <v>75.5616</v>
      </c>
    </row>
    <row r="51" ht="15" spans="1:24">
      <c r="A51" t="s">
        <v>336</v>
      </c>
      <c r="B51" s="3" t="s">
        <v>25</v>
      </c>
      <c r="C51" s="6">
        <v>2</v>
      </c>
      <c r="D51" s="6">
        <v>1</v>
      </c>
      <c r="E51" s="6">
        <v>0</v>
      </c>
      <c r="F51" s="10">
        <v>750</v>
      </c>
      <c r="G51" s="10">
        <v>0.3</v>
      </c>
      <c r="H51" s="10">
        <v>0</v>
      </c>
      <c r="I51" s="10">
        <v>80</v>
      </c>
      <c r="J51" s="10">
        <v>20</v>
      </c>
      <c r="K51" s="10">
        <v>0.15</v>
      </c>
      <c r="L51" s="10">
        <v>0.05</v>
      </c>
      <c r="M51" s="10">
        <v>10</v>
      </c>
      <c r="N51" s="10">
        <v>5</v>
      </c>
      <c r="O51" s="11" t="s">
        <v>337</v>
      </c>
      <c r="P51" s="11" t="s">
        <v>302</v>
      </c>
      <c r="Q51" s="11" t="s">
        <v>197</v>
      </c>
      <c r="R51" s="11" t="s">
        <v>338</v>
      </c>
      <c r="S51" s="11" t="s">
        <v>339</v>
      </c>
      <c r="T51" s="11" t="s">
        <v>340</v>
      </c>
      <c r="U51" s="11" t="s">
        <v>341</v>
      </c>
      <c r="V51" s="11" t="s">
        <v>41</v>
      </c>
      <c r="W51" s="11" t="s">
        <v>61</v>
      </c>
      <c r="X51" s="8">
        <f>((150-O51)/100)*2+(Q51/100)*2+(R51/100)*8+((-S51-7)*30)+((-T51/10)*7.5+((-U51/10)*7.5+((V51))*20+((W51))*20))</f>
        <v>70.4115</v>
      </c>
    </row>
    <row r="52" ht="15" spans="1:24">
      <c r="A52" t="s">
        <v>342</v>
      </c>
      <c r="B52" s="3" t="s">
        <v>25</v>
      </c>
      <c r="C52" s="6">
        <v>2</v>
      </c>
      <c r="D52" s="6">
        <v>1</v>
      </c>
      <c r="E52" s="6">
        <v>0</v>
      </c>
      <c r="F52" s="10">
        <v>750</v>
      </c>
      <c r="G52" s="10">
        <v>0.6</v>
      </c>
      <c r="H52" s="10">
        <v>0</v>
      </c>
      <c r="I52" s="10">
        <v>40</v>
      </c>
      <c r="J52" s="10">
        <v>20</v>
      </c>
      <c r="K52" s="10">
        <v>0.4</v>
      </c>
      <c r="L52" s="10">
        <v>0.05</v>
      </c>
      <c r="M52" s="10">
        <v>40</v>
      </c>
      <c r="N52" s="10">
        <v>5</v>
      </c>
      <c r="O52" s="11" t="s">
        <v>329</v>
      </c>
      <c r="P52" s="11" t="s">
        <v>343</v>
      </c>
      <c r="Q52" s="11" t="s">
        <v>286</v>
      </c>
      <c r="R52" s="11" t="s">
        <v>344</v>
      </c>
      <c r="S52" s="11" t="s">
        <v>345</v>
      </c>
      <c r="T52" s="11" t="s">
        <v>346</v>
      </c>
      <c r="U52" s="11" t="s">
        <v>347</v>
      </c>
      <c r="V52" s="11" t="s">
        <v>242</v>
      </c>
      <c r="W52" s="11" t="s">
        <v>300</v>
      </c>
      <c r="X52" s="8">
        <f>((150-O52)/100)*2+(Q52/100)*2+(R52/100)*8+((-S52-7)*30)+((-T52/10)*7.5+((-U52/10)*7.5+((V52))*20+((W52))*20))</f>
        <v>79.59</v>
      </c>
    </row>
    <row r="53" ht="15" spans="1:24">
      <c r="A53" t="s">
        <v>348</v>
      </c>
      <c r="B53" s="3" t="s">
        <v>25</v>
      </c>
      <c r="C53" s="6">
        <v>2</v>
      </c>
      <c r="D53" s="6">
        <v>1</v>
      </c>
      <c r="E53" s="6">
        <v>0</v>
      </c>
      <c r="F53" s="10">
        <v>750</v>
      </c>
      <c r="G53" s="10">
        <v>0.5</v>
      </c>
      <c r="H53" s="10">
        <v>0</v>
      </c>
      <c r="I53" s="10">
        <v>60</v>
      </c>
      <c r="J53" s="10">
        <v>20</v>
      </c>
      <c r="K53" s="10">
        <v>0.4</v>
      </c>
      <c r="L53" s="10">
        <v>0.05</v>
      </c>
      <c r="M53" s="10">
        <v>30</v>
      </c>
      <c r="N53" s="10">
        <v>5</v>
      </c>
      <c r="O53" s="11" t="s">
        <v>308</v>
      </c>
      <c r="P53" s="11" t="s">
        <v>349</v>
      </c>
      <c r="Q53" s="11" t="s">
        <v>197</v>
      </c>
      <c r="R53" s="11" t="s">
        <v>350</v>
      </c>
      <c r="S53" s="11" t="s">
        <v>351</v>
      </c>
      <c r="T53" s="11" t="s">
        <v>352</v>
      </c>
      <c r="U53" s="11" t="s">
        <v>353</v>
      </c>
      <c r="V53" s="11" t="s">
        <v>354</v>
      </c>
      <c r="W53" s="11" t="s">
        <v>355</v>
      </c>
      <c r="X53" s="8">
        <f>((150-O53)/100)*2+(Q53/100)*2+(R53/100)*8+((-S53-7)*30)+((-T53/10)*7.5+((-U53/10)*7.5+((V53))*20+((W53))*20))</f>
        <v>76.6217</v>
      </c>
    </row>
    <row r="54" ht="15" spans="1:24">
      <c r="A54" t="s">
        <v>356</v>
      </c>
      <c r="B54" s="3" t="s">
        <v>25</v>
      </c>
      <c r="C54" s="6">
        <v>2</v>
      </c>
      <c r="D54" s="6">
        <v>1</v>
      </c>
      <c r="E54" s="6">
        <v>0</v>
      </c>
      <c r="F54" s="10">
        <v>750</v>
      </c>
      <c r="G54" s="10">
        <v>0.4</v>
      </c>
      <c r="H54" s="10">
        <v>0</v>
      </c>
      <c r="I54" s="10">
        <v>80</v>
      </c>
      <c r="J54" s="10">
        <v>20</v>
      </c>
      <c r="K54" s="10">
        <v>0.3</v>
      </c>
      <c r="L54" s="10">
        <v>0.05</v>
      </c>
      <c r="M54" s="10">
        <v>10</v>
      </c>
      <c r="N54" s="10">
        <v>5</v>
      </c>
      <c r="O54" s="11" t="s">
        <v>337</v>
      </c>
      <c r="P54" s="11" t="s">
        <v>322</v>
      </c>
      <c r="Q54" s="11" t="s">
        <v>88</v>
      </c>
      <c r="R54" s="11" t="s">
        <v>357</v>
      </c>
      <c r="S54" s="11" t="s">
        <v>358</v>
      </c>
      <c r="T54" s="11" t="s">
        <v>359</v>
      </c>
      <c r="U54" s="11" t="s">
        <v>360</v>
      </c>
      <c r="V54" s="11" t="s">
        <v>361</v>
      </c>
      <c r="W54" s="11" t="s">
        <v>75</v>
      </c>
      <c r="X54" s="8">
        <f>((150-O54)/100)*2+(Q54/100)*2+(R54/100)*8+((-S54-7)*30)+((-T54/10)*7.5+((-U54/10)*7.5+((V54))*20+((W54))*20))</f>
        <v>67.97905</v>
      </c>
    </row>
    <row r="55" ht="15" spans="1:24">
      <c r="A55" t="s">
        <v>362</v>
      </c>
      <c r="B55" s="3" t="s">
        <v>25</v>
      </c>
      <c r="C55" s="6">
        <v>2</v>
      </c>
      <c r="D55" s="6">
        <v>1</v>
      </c>
      <c r="E55" s="6">
        <v>0</v>
      </c>
      <c r="F55" s="10">
        <v>750</v>
      </c>
      <c r="G55" s="10">
        <v>0.6</v>
      </c>
      <c r="H55" s="10">
        <v>0</v>
      </c>
      <c r="I55" s="10">
        <v>40</v>
      </c>
      <c r="J55" s="10">
        <v>20</v>
      </c>
      <c r="K55" s="10">
        <v>0.25</v>
      </c>
      <c r="L55" s="10">
        <v>0.05</v>
      </c>
      <c r="M55" s="10">
        <v>10</v>
      </c>
      <c r="N55" s="10">
        <v>5</v>
      </c>
      <c r="O55" s="11" t="s">
        <v>363</v>
      </c>
      <c r="P55" s="11" t="s">
        <v>364</v>
      </c>
      <c r="Q55" s="11" t="s">
        <v>286</v>
      </c>
      <c r="R55" s="11" t="s">
        <v>174</v>
      </c>
      <c r="S55" s="11" t="s">
        <v>365</v>
      </c>
      <c r="T55" s="11" t="s">
        <v>366</v>
      </c>
      <c r="U55" s="11" t="s">
        <v>367</v>
      </c>
      <c r="V55" s="11" t="s">
        <v>368</v>
      </c>
      <c r="W55" s="11" t="s">
        <v>369</v>
      </c>
      <c r="X55" s="8">
        <f>((150-O55)/100)*2+(Q55/100)*2+(R55/100)*8+((-S55-7)*30)+((-T55/10)*7.5+((-U55/10)*7.5+((V55))*20+((W55))*20))</f>
        <v>68.8563</v>
      </c>
    </row>
    <row r="56" ht="15" spans="1:24">
      <c r="A56" t="s">
        <v>370</v>
      </c>
      <c r="B56" s="3" t="s">
        <v>25</v>
      </c>
      <c r="C56" s="6">
        <v>2</v>
      </c>
      <c r="D56" s="6">
        <v>1</v>
      </c>
      <c r="E56" s="6">
        <v>0</v>
      </c>
      <c r="F56" s="10">
        <v>800</v>
      </c>
      <c r="G56" s="10">
        <v>0.6</v>
      </c>
      <c r="H56" s="10">
        <v>0</v>
      </c>
      <c r="I56" s="10">
        <v>80</v>
      </c>
      <c r="J56" s="10">
        <v>20</v>
      </c>
      <c r="K56" s="10">
        <v>0.25</v>
      </c>
      <c r="L56" s="10">
        <v>0.05</v>
      </c>
      <c r="M56" s="10">
        <v>30</v>
      </c>
      <c r="N56" s="10">
        <v>5</v>
      </c>
      <c r="O56" s="11" t="s">
        <v>308</v>
      </c>
      <c r="P56" s="11" t="s">
        <v>371</v>
      </c>
      <c r="Q56" s="11" t="s">
        <v>197</v>
      </c>
      <c r="R56" s="11" t="s">
        <v>372</v>
      </c>
      <c r="S56" s="11" t="s">
        <v>135</v>
      </c>
      <c r="T56" s="11" t="s">
        <v>373</v>
      </c>
      <c r="U56" s="11" t="s">
        <v>374</v>
      </c>
      <c r="V56" s="11" t="s">
        <v>53</v>
      </c>
      <c r="W56" s="11" t="s">
        <v>375</v>
      </c>
      <c r="X56" s="8">
        <f>((150-O56)/100)*2+(Q56/100)*2+(R56/100)*8+((-S56-7)*30)+((-T56/10)*7.5+((-U56/10)*7.5+((V56))*20+((W56))*20))</f>
        <v>73.82625</v>
      </c>
    </row>
    <row r="57" ht="15" spans="1:24">
      <c r="A57" t="s">
        <v>376</v>
      </c>
      <c r="B57" s="3" t="s">
        <v>25</v>
      </c>
      <c r="C57" s="6">
        <v>2</v>
      </c>
      <c r="D57" s="6">
        <v>1</v>
      </c>
      <c r="E57" s="6">
        <v>0</v>
      </c>
      <c r="F57" s="10">
        <v>800</v>
      </c>
      <c r="G57" s="10">
        <v>0.3</v>
      </c>
      <c r="H57" s="10">
        <v>0</v>
      </c>
      <c r="I57" s="10">
        <v>80</v>
      </c>
      <c r="J57" s="10">
        <v>20</v>
      </c>
      <c r="K57" s="10">
        <v>0.15</v>
      </c>
      <c r="L57" s="10">
        <v>0.05</v>
      </c>
      <c r="M57" s="10">
        <v>10</v>
      </c>
      <c r="N57" s="10">
        <v>5</v>
      </c>
      <c r="O57" s="11" t="s">
        <v>377</v>
      </c>
      <c r="P57" s="11" t="s">
        <v>378</v>
      </c>
      <c r="Q57" s="11" t="s">
        <v>246</v>
      </c>
      <c r="R57" s="11" t="s">
        <v>379</v>
      </c>
      <c r="S57" s="11" t="s">
        <v>380</v>
      </c>
      <c r="T57" s="11" t="s">
        <v>381</v>
      </c>
      <c r="U57" s="11" t="s">
        <v>382</v>
      </c>
      <c r="V57" s="11" t="s">
        <v>368</v>
      </c>
      <c r="W57" s="11" t="s">
        <v>48</v>
      </c>
      <c r="X57" s="8">
        <f>((150-O57)/100)*2+(Q57/100)*2+(R57/100)*8+((-S57-7)*30)+((-T57/10)*7.5+((-U57/10)*7.5+((V57))*20+((W57))*20))</f>
        <v>68.51325</v>
      </c>
    </row>
    <row r="58" ht="15" spans="1:24">
      <c r="A58" t="s">
        <v>383</v>
      </c>
      <c r="B58" s="3" t="s">
        <v>25</v>
      </c>
      <c r="C58" s="6">
        <v>2</v>
      </c>
      <c r="D58" s="6">
        <v>1</v>
      </c>
      <c r="E58" s="6">
        <v>0</v>
      </c>
      <c r="F58" s="10">
        <v>800</v>
      </c>
      <c r="G58" s="10">
        <v>0.3</v>
      </c>
      <c r="H58" s="10">
        <v>0</v>
      </c>
      <c r="I58" s="10">
        <v>60</v>
      </c>
      <c r="J58" s="10">
        <v>20</v>
      </c>
      <c r="K58" s="10">
        <v>0.3</v>
      </c>
      <c r="L58" s="10">
        <v>0.05</v>
      </c>
      <c r="M58" s="10">
        <v>20</v>
      </c>
      <c r="N58" s="10">
        <v>5</v>
      </c>
      <c r="O58" s="11" t="s">
        <v>384</v>
      </c>
      <c r="P58" s="11" t="s">
        <v>385</v>
      </c>
      <c r="Q58" s="11" t="s">
        <v>98</v>
      </c>
      <c r="R58" s="11" t="s">
        <v>315</v>
      </c>
      <c r="S58" s="11" t="s">
        <v>386</v>
      </c>
      <c r="T58" s="11" t="s">
        <v>387</v>
      </c>
      <c r="U58" s="11" t="s">
        <v>388</v>
      </c>
      <c r="V58" s="11" t="s">
        <v>210</v>
      </c>
      <c r="W58" s="11" t="s">
        <v>389</v>
      </c>
      <c r="X58" s="8">
        <f>((150-O58)/100)*2+(Q58/100)*2+(R58/100)*8+((-S58-7)*30)+((-T58/10)*7.5+((-U58/10)*7.5+((V58))*20+((W58))*20))</f>
        <v>71.9489</v>
      </c>
    </row>
    <row r="59" ht="15" spans="1:24">
      <c r="A59" t="s">
        <v>390</v>
      </c>
      <c r="B59" s="3" t="s">
        <v>25</v>
      </c>
      <c r="C59" s="6">
        <v>2</v>
      </c>
      <c r="D59" s="6">
        <v>1</v>
      </c>
      <c r="E59" s="6">
        <v>0</v>
      </c>
      <c r="F59" s="10">
        <v>800</v>
      </c>
      <c r="G59" s="10">
        <v>0.6</v>
      </c>
      <c r="H59" s="10">
        <v>0</v>
      </c>
      <c r="I59" s="10">
        <v>60</v>
      </c>
      <c r="J59" s="10">
        <v>20</v>
      </c>
      <c r="K59" s="10">
        <v>0.15</v>
      </c>
      <c r="L59" s="10">
        <v>0.05</v>
      </c>
      <c r="M59" s="10">
        <v>10</v>
      </c>
      <c r="N59" s="10">
        <v>5</v>
      </c>
      <c r="O59" s="11" t="s">
        <v>377</v>
      </c>
      <c r="P59" s="11" t="s">
        <v>391</v>
      </c>
      <c r="Q59" s="11" t="s">
        <v>197</v>
      </c>
      <c r="R59" s="11" t="s">
        <v>392</v>
      </c>
      <c r="S59" s="11" t="s">
        <v>393</v>
      </c>
      <c r="T59" s="11" t="s">
        <v>394</v>
      </c>
      <c r="U59" s="11" t="s">
        <v>395</v>
      </c>
      <c r="V59" s="11" t="s">
        <v>396</v>
      </c>
      <c r="W59" s="11" t="s">
        <v>203</v>
      </c>
      <c r="X59" s="8">
        <f>((150-O59)/100)*2+(Q59/100)*2+(R59/100)*8+((-S59-7)*30)+((-T59/10)*7.5+((-U59/10)*7.5+((V59))*20+((W59))*20))</f>
        <v>71.61765</v>
      </c>
    </row>
    <row r="60" ht="15" spans="1:24">
      <c r="A60" t="s">
        <v>397</v>
      </c>
      <c r="B60" s="3" t="s">
        <v>25</v>
      </c>
      <c r="C60" s="6">
        <v>2</v>
      </c>
      <c r="D60" s="6">
        <v>1</v>
      </c>
      <c r="E60" s="6">
        <v>0</v>
      </c>
      <c r="F60" s="10">
        <v>800</v>
      </c>
      <c r="G60" s="10">
        <v>0.4</v>
      </c>
      <c r="H60" s="10">
        <v>0</v>
      </c>
      <c r="I60" s="10">
        <v>40</v>
      </c>
      <c r="J60" s="10">
        <v>20</v>
      </c>
      <c r="K60" s="10">
        <v>0.25</v>
      </c>
      <c r="L60" s="10">
        <v>0.05</v>
      </c>
      <c r="M60" s="10">
        <v>10</v>
      </c>
      <c r="N60" s="10">
        <v>5</v>
      </c>
      <c r="O60" s="11" t="s">
        <v>398</v>
      </c>
      <c r="P60" s="11" t="s">
        <v>399</v>
      </c>
      <c r="Q60" s="11" t="s">
        <v>98</v>
      </c>
      <c r="R60" s="11" t="s">
        <v>400</v>
      </c>
      <c r="S60" s="11" t="s">
        <v>401</v>
      </c>
      <c r="T60" s="11" t="s">
        <v>402</v>
      </c>
      <c r="U60" s="11" t="s">
        <v>403</v>
      </c>
      <c r="V60" s="11" t="s">
        <v>368</v>
      </c>
      <c r="W60" s="11" t="s">
        <v>211</v>
      </c>
      <c r="X60" s="8">
        <f>((150-O60)/100)*2+(Q60/100)*2+(R60/100)*8+((-S60-7)*30)+((-T60/10)*7.5+((-U60/10)*7.5+((V60))*20+((W60))*20))</f>
        <v>70.26</v>
      </c>
    </row>
    <row r="61" ht="15" spans="1:24">
      <c r="A61" t="s">
        <v>404</v>
      </c>
      <c r="B61" s="3" t="s">
        <v>25</v>
      </c>
      <c r="C61" s="6">
        <v>2</v>
      </c>
      <c r="D61" s="6">
        <v>1</v>
      </c>
      <c r="E61" s="6">
        <v>0</v>
      </c>
      <c r="F61" s="10">
        <v>800</v>
      </c>
      <c r="G61" s="10">
        <v>0.6</v>
      </c>
      <c r="H61" s="10">
        <v>0</v>
      </c>
      <c r="I61" s="10">
        <v>60</v>
      </c>
      <c r="J61" s="10">
        <v>20</v>
      </c>
      <c r="K61" s="10">
        <v>0.25</v>
      </c>
      <c r="L61" s="10">
        <v>0.05</v>
      </c>
      <c r="M61" s="10">
        <v>10</v>
      </c>
      <c r="N61" s="10">
        <v>5</v>
      </c>
      <c r="O61" s="11" t="s">
        <v>377</v>
      </c>
      <c r="P61" s="11" t="s">
        <v>405</v>
      </c>
      <c r="Q61" s="11" t="s">
        <v>286</v>
      </c>
      <c r="R61" s="11" t="s">
        <v>406</v>
      </c>
      <c r="S61" s="11" t="s">
        <v>393</v>
      </c>
      <c r="T61" s="11" t="s">
        <v>407</v>
      </c>
      <c r="U61" s="11" t="s">
        <v>408</v>
      </c>
      <c r="V61" s="11" t="s">
        <v>409</v>
      </c>
      <c r="W61" s="11" t="s">
        <v>211</v>
      </c>
      <c r="X61" s="8">
        <f>((150-O61)/100)*2+(Q61/100)*2+(R61/100)*8+((-S61-7)*30)+((-T61/10)*7.5+((-U61/10)*7.5+((V61))*20+((W61))*20))</f>
        <v>71.62455</v>
      </c>
    </row>
    <row r="62" ht="15" spans="1:24">
      <c r="A62" t="s">
        <v>410</v>
      </c>
      <c r="B62" s="12" t="s">
        <v>25</v>
      </c>
      <c r="C62" s="6">
        <v>2</v>
      </c>
      <c r="D62" s="6">
        <v>1</v>
      </c>
      <c r="E62" s="6">
        <v>0</v>
      </c>
      <c r="F62" s="13">
        <v>500</v>
      </c>
      <c r="G62" s="13">
        <v>1</v>
      </c>
      <c r="H62" s="13">
        <v>0</v>
      </c>
      <c r="I62" s="13">
        <v>80</v>
      </c>
      <c r="J62" s="13">
        <v>20</v>
      </c>
      <c r="K62" s="13">
        <v>0.2</v>
      </c>
      <c r="L62" s="13">
        <v>0.1</v>
      </c>
      <c r="M62" s="13">
        <v>40</v>
      </c>
      <c r="N62" s="13">
        <v>5</v>
      </c>
      <c r="O62" s="8">
        <v>48</v>
      </c>
      <c r="P62" s="8">
        <v>16.2</v>
      </c>
      <c r="Q62" s="8">
        <v>96.64</v>
      </c>
      <c r="R62" s="8">
        <v>48.56</v>
      </c>
      <c r="S62" s="8">
        <v>-7.27</v>
      </c>
      <c r="T62" s="8">
        <v>-3.21673003634233</v>
      </c>
      <c r="U62" s="8">
        <v>-4.97864476281756</v>
      </c>
      <c r="V62" s="15" t="s">
        <v>411</v>
      </c>
      <c r="W62" s="15" t="s">
        <v>412</v>
      </c>
      <c r="X62" s="8">
        <f>((150-O62)/100)*2+(Q62/100)*2+(R62/100)*8+((-S62-7)*30)+((-T62/10)*7.5+((-U62/10)*7.5+((V62))*20+((W62))*20))</f>
        <v>40.4481135296777</v>
      </c>
    </row>
    <row r="63" ht="15" spans="1:24">
      <c r="A63" t="s">
        <v>413</v>
      </c>
      <c r="B63" s="12" t="s">
        <v>25</v>
      </c>
      <c r="C63" s="6">
        <v>2</v>
      </c>
      <c r="D63" s="6">
        <v>1</v>
      </c>
      <c r="E63" s="6">
        <v>0</v>
      </c>
      <c r="F63" s="13">
        <v>550</v>
      </c>
      <c r="G63" s="13">
        <v>1</v>
      </c>
      <c r="H63" s="13">
        <v>0</v>
      </c>
      <c r="I63" s="13">
        <v>80</v>
      </c>
      <c r="J63" s="13">
        <v>20</v>
      </c>
      <c r="K63" s="13">
        <v>0.2</v>
      </c>
      <c r="L63" s="13">
        <v>0.1</v>
      </c>
      <c r="M63" s="13">
        <v>40</v>
      </c>
      <c r="N63" s="13">
        <v>5</v>
      </c>
      <c r="O63" s="8">
        <v>49</v>
      </c>
      <c r="P63" s="8">
        <v>15.6</v>
      </c>
      <c r="Q63" s="8">
        <v>97.91</v>
      </c>
      <c r="R63" s="8">
        <v>57.06</v>
      </c>
      <c r="S63" s="8">
        <v>-7.45</v>
      </c>
      <c r="T63" s="8">
        <v>-3.34482415384017</v>
      </c>
      <c r="U63" s="8">
        <v>-5.00344017257911</v>
      </c>
      <c r="V63" s="8">
        <v>0.288</v>
      </c>
      <c r="W63" s="8">
        <v>0.622</v>
      </c>
      <c r="X63" s="8">
        <f>((150-O63)/100)*2+(Q63/100)*2+(R63/100)*8+((-S63-7)*30)+((-T63/10)*7.5+((-U63/10)*7.5+((V63))*20+((W63))*20))</f>
        <v>46.5041982448145</v>
      </c>
    </row>
    <row r="64" ht="15" spans="1:24">
      <c r="A64" t="s">
        <v>414</v>
      </c>
      <c r="B64" s="12" t="s">
        <v>25</v>
      </c>
      <c r="C64" s="6">
        <v>2</v>
      </c>
      <c r="D64" s="6">
        <v>1</v>
      </c>
      <c r="E64" s="6">
        <v>0</v>
      </c>
      <c r="F64" s="13">
        <v>600</v>
      </c>
      <c r="G64" s="13">
        <v>1</v>
      </c>
      <c r="H64" s="13">
        <v>0</v>
      </c>
      <c r="I64" s="13">
        <v>80</v>
      </c>
      <c r="J64" s="13">
        <v>20</v>
      </c>
      <c r="K64" s="13">
        <v>0.2</v>
      </c>
      <c r="L64" s="13">
        <v>0.1</v>
      </c>
      <c r="M64" s="13">
        <v>40</v>
      </c>
      <c r="N64" s="13">
        <v>5</v>
      </c>
      <c r="O64" s="8">
        <v>49</v>
      </c>
      <c r="P64" s="8">
        <v>14.8</v>
      </c>
      <c r="Q64" s="8">
        <v>98.39</v>
      </c>
      <c r="R64" s="8">
        <v>62.21</v>
      </c>
      <c r="S64" s="8">
        <v>-7.68</v>
      </c>
      <c r="T64" s="8">
        <v>-3.86829050085211</v>
      </c>
      <c r="U64" s="8">
        <v>-5.49958180141318</v>
      </c>
      <c r="V64" s="8">
        <v>0.297</v>
      </c>
      <c r="W64" s="8">
        <v>0.61</v>
      </c>
      <c r="X64" s="8">
        <f>((150-O64)/100)*2+(Q64/100)*2+(R64/100)*8+((-S64-7)*30)+((-T64/10)*7.5+((-U64/10)*7.5+((V64))*20+((W64))*20))</f>
        <v>54.530504226699</v>
      </c>
    </row>
    <row r="65" ht="15" spans="1:24">
      <c r="A65" t="s">
        <v>415</v>
      </c>
      <c r="B65" s="12" t="s">
        <v>25</v>
      </c>
      <c r="C65" s="6">
        <v>2</v>
      </c>
      <c r="D65" s="6">
        <v>1</v>
      </c>
      <c r="E65" s="6">
        <v>0</v>
      </c>
      <c r="F65" s="13">
        <v>650</v>
      </c>
      <c r="G65" s="13">
        <v>1</v>
      </c>
      <c r="H65" s="13">
        <v>0</v>
      </c>
      <c r="I65" s="13">
        <v>80</v>
      </c>
      <c r="J65" s="13">
        <v>20</v>
      </c>
      <c r="K65" s="13">
        <v>0.2</v>
      </c>
      <c r="L65" s="13">
        <v>0.1</v>
      </c>
      <c r="M65" s="13">
        <v>40</v>
      </c>
      <c r="N65" s="13">
        <v>5</v>
      </c>
      <c r="O65" s="8">
        <v>50</v>
      </c>
      <c r="P65" s="8">
        <v>14.2</v>
      </c>
      <c r="Q65" s="8">
        <v>98.08</v>
      </c>
      <c r="R65" s="8">
        <v>68.57</v>
      </c>
      <c r="S65" s="8">
        <v>-7.85</v>
      </c>
      <c r="T65" s="8">
        <v>-4.31040261223261</v>
      </c>
      <c r="U65" s="8">
        <v>-5.88157700211538</v>
      </c>
      <c r="V65" s="8">
        <v>0.3213</v>
      </c>
      <c r="W65" s="8">
        <v>0.6025</v>
      </c>
      <c r="X65" s="8">
        <f>((150-O65)/100)*2+(Q65/100)*2+(R65/100)*8+((-S65-7)*30)+((-T65/10)*7.5+((-U65/10)*7.5+((V65))*20+((W65))*20))</f>
        <v>61.067184710761</v>
      </c>
    </row>
    <row r="66" ht="15" spans="1:24">
      <c r="A66" t="s">
        <v>416</v>
      </c>
      <c r="B66" s="12" t="s">
        <v>25</v>
      </c>
      <c r="C66" s="6">
        <v>2</v>
      </c>
      <c r="D66" s="6">
        <v>1</v>
      </c>
      <c r="E66" s="6">
        <v>0</v>
      </c>
      <c r="F66" s="13">
        <v>700</v>
      </c>
      <c r="G66" s="13">
        <v>1</v>
      </c>
      <c r="H66" s="13">
        <v>0</v>
      </c>
      <c r="I66" s="13">
        <v>80</v>
      </c>
      <c r="J66" s="13">
        <v>20</v>
      </c>
      <c r="K66" s="13">
        <v>0.2</v>
      </c>
      <c r="L66" s="13">
        <v>0.1</v>
      </c>
      <c r="M66" s="13">
        <v>40</v>
      </c>
      <c r="N66" s="13">
        <v>5</v>
      </c>
      <c r="O66" s="8">
        <v>52</v>
      </c>
      <c r="P66" s="8">
        <v>14.6</v>
      </c>
      <c r="Q66" s="8">
        <v>98.71</v>
      </c>
      <c r="R66" s="8">
        <v>67.92</v>
      </c>
      <c r="S66" s="8">
        <v>-7.712</v>
      </c>
      <c r="T66" s="8">
        <v>-3.41949265104974</v>
      </c>
      <c r="U66" s="8">
        <v>-5.38350267211854</v>
      </c>
      <c r="V66" s="8">
        <v>0.3333</v>
      </c>
      <c r="W66" s="8">
        <v>0.6042</v>
      </c>
      <c r="X66" s="8">
        <f>((150-O66)/100)*2+(Q66/100)*2+(R66/100)*8+((-S66-7)*30)+((-T66/10)*7.5+((-U66/10)*7.5+((V66))*20+((W66))*20))</f>
        <v>56.0800464923762</v>
      </c>
    </row>
    <row r="67" ht="15" spans="1:24">
      <c r="A67" s="14" t="s">
        <v>417</v>
      </c>
      <c r="B67" s="12" t="s">
        <v>25</v>
      </c>
      <c r="C67" s="6">
        <v>2</v>
      </c>
      <c r="D67" s="6">
        <v>1</v>
      </c>
      <c r="E67" s="6">
        <v>0</v>
      </c>
      <c r="F67" s="13">
        <v>750</v>
      </c>
      <c r="G67" s="13">
        <v>1</v>
      </c>
      <c r="H67" s="13">
        <v>0</v>
      </c>
      <c r="I67" s="13">
        <v>80</v>
      </c>
      <c r="J67" s="13">
        <v>20</v>
      </c>
      <c r="K67" s="13">
        <v>0.2</v>
      </c>
      <c r="L67" s="13">
        <v>0.1</v>
      </c>
      <c r="M67" s="13">
        <v>40</v>
      </c>
      <c r="N67" s="13">
        <v>5</v>
      </c>
      <c r="O67" s="8">
        <v>52</v>
      </c>
      <c r="P67" s="8">
        <v>13.8</v>
      </c>
      <c r="Q67" s="8">
        <v>99.078125</v>
      </c>
      <c r="R67" s="8">
        <v>83</v>
      </c>
      <c r="S67" s="8">
        <v>-8.305</v>
      </c>
      <c r="T67" s="8">
        <v>-4.52416837088374</v>
      </c>
      <c r="U67" s="8">
        <v>-6.50790379799848</v>
      </c>
      <c r="V67" s="15" t="s">
        <v>418</v>
      </c>
      <c r="W67" s="15" t="s">
        <v>419</v>
      </c>
      <c r="X67" s="8">
        <f>((150-O67)/100)*2+(Q67/100)*2+(R67/100)*8+((-S67-7)*30)+((-T67/10)*7.5+((-U67/10)*7.5+((V67))*20+((W67))*20))</f>
        <v>78.9309196712639</v>
      </c>
    </row>
  </sheetData>
  <autoFilter xmlns:etc="http://www.wps.cn/officeDocument/2017/etCustomData" ref="X1:X41" etc:filterBottomFollowUsedRange="0">
    <extLst/>
  </autoFilter>
  <sortState ref="A2:X71">
    <sortCondition ref="A2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叶行健</cp:lastModifiedBy>
  <dcterms:created xsi:type="dcterms:W3CDTF">2025-12-25T15:40:00Z</dcterms:created>
  <dcterms:modified xsi:type="dcterms:W3CDTF">2026-01-07T05:03:54Z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FD88FEFAB89749619CF0197300B15CBB_13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