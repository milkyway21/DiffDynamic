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<sst xmlns="http://schemas.openxmlformats.org/spreadsheetml/2006/main" count="650" uniqueCount="402">
  <si>
    <t>评估开始时间</t>
  </si>
  <si>
    <t>评估结束时间</t>
  </si>
  <si>
    <t>评估耗时(秒)</t>
  </si>
  <si>
    <t>PT文件</t>
  </si>
  <si>
    <t>配体文件</t>
  </si>
  <si>
    <t>蛋白根目录</t>
  </si>
  <si>
    <t>原子编码模式</t>
  </si>
  <si>
    <t>对接强度</t>
  </si>
  <si>
    <t>总样本数</t>
  </si>
  <si>
    <t>重建成功数</t>
  </si>
  <si>
    <t>重建成功率(%)</t>
  </si>
  <si>
    <t>评估成功数</t>
  </si>
  <si>
    <t>评估成功率(%)</t>
  </si>
  <si>
    <t>完整分子数</t>
  </si>
  <si>
    <t>完整分子率(%)</t>
  </si>
  <si>
    <t>Vina_Dock_均值</t>
  </si>
  <si>
    <t>Vina_Dock_中位数</t>
  </si>
  <si>
    <t>Vina_Dock_最小值</t>
  </si>
  <si>
    <t>Vina_Dock_最大值</t>
  </si>
  <si>
    <t>Vina_ScoreOnly_均值</t>
  </si>
  <si>
    <t>Vina_ScoreOnly_中位数</t>
  </si>
  <si>
    <t>Vina_Minimize_均值</t>
  </si>
  <si>
    <t>Vina_Minimize_中位数</t>
  </si>
  <si>
    <t>QED_均值</t>
  </si>
  <si>
    <t>QED_中位数</t>
  </si>
  <si>
    <t>SA_均值</t>
  </si>
  <si>
    <t>SA_中位数</t>
  </si>
  <si>
    <t>原子类型分布JSD_均值</t>
  </si>
  <si>
    <t>原子类型分布JSD_中位数</t>
  </si>
  <si>
    <t>键长JSD_JSD_6-6|1_均值</t>
  </si>
  <si>
    <t>键长JSD_JSD_6-6|2_均值</t>
  </si>
  <si>
    <t>键长JSD_JSD_6-6|4_均值</t>
  </si>
  <si>
    <t>键长JSD_JSD_6-7|1_均值</t>
  </si>
  <si>
    <t>键长JSD_JSD_6-7|2_均值</t>
  </si>
  <si>
    <t>键长JSD_JSD_6-7|4_均值</t>
  </si>
  <si>
    <t>键长JSD_JSD_6-8|1_均值</t>
  </si>
  <si>
    <t>键长JSD_JSD_6-8|2_均值</t>
  </si>
  <si>
    <t>原子对距离JSD_JSD_All_12A_均值</t>
  </si>
  <si>
    <t>原子对距离JSD_JSD_CC_2A_均值</t>
  </si>
  <si>
    <t>数据ID</t>
  </si>
  <si>
    <t>2025-12-11 18:11:04</t>
  </si>
  <si>
    <t>2025-12-11 18:26:04</t>
  </si>
  <si>
    <t>result_1_20251211_175237.pt</t>
  </si>
  <si>
    <t>4aaw_A_rec_4ac3_r83_lig_tt_min_0.sdf</t>
  </si>
  <si>
    <t>data/crossdocked_v1.1_rmsd1.0_pocket10</t>
  </si>
  <si>
    <t>add_aromatic</t>
  </si>
  <si>
    <t/>
  </si>
  <si>
    <t>2025-12-11 18:23:04</t>
  </si>
  <si>
    <t>result_61_20251211_180244.pt</t>
  </si>
  <si>
    <t>2gns_A_rec_4qer_stl_lig_tt_min_0.sdf</t>
  </si>
  <si>
    <t>2025-12-11 18:53:48</t>
  </si>
  <si>
    <t>2025-12-11 20:49:35</t>
  </si>
  <si>
    <t>result_10_20251211_183354.pt</t>
  </si>
  <si>
    <t>3dzh_A_rec_3u4i_cvr_lig_tt_docked_0.sdf</t>
  </si>
  <si>
    <t>2025-12-11 20:52:09</t>
  </si>
  <si>
    <t>result_12_20251211_183601.pt</t>
  </si>
  <si>
    <t>1coy_A_rec_1coy_and_lig_tt_docked_0.sdf</t>
  </si>
  <si>
    <t>2025-12-11 20:48:10</t>
  </si>
  <si>
    <t>result_16_20251211_183457.pt</t>
  </si>
  <si>
    <t>4g3d_B_rec_4idv_13v_lig_tt_min_0.sdf</t>
  </si>
  <si>
    <t>2025-12-11 20:43:24</t>
  </si>
  <si>
    <t>result_18_20251211_183702.pt</t>
  </si>
  <si>
    <t>3gs6_A_rec_2oxn_oan_lig_tt_docked_4.sdf</t>
  </si>
  <si>
    <t>2025-12-11 20:38:15</t>
  </si>
  <si>
    <t>result_3_20251211_183659.pt</t>
  </si>
  <si>
    <t>14gs_A_rec_20gs_cbd_lig_tt_min_0.sdf</t>
  </si>
  <si>
    <t>2025-12-11 20:50:35</t>
  </si>
  <si>
    <t>result_4_20251211_183802.pt</t>
  </si>
  <si>
    <t>2v3r_A_rec_1dy4_snp_lig_tt_docked_1.sdf</t>
  </si>
  <si>
    <t>2025-12-11 18:53:49</t>
  </si>
  <si>
    <t>2025-12-11 20:51:23</t>
  </si>
  <si>
    <t>result_0_20251211_183356.pt</t>
  </si>
  <si>
    <t>2z3h_A_rec_1wn6_bst_lig_tt_docked_3.sdf</t>
  </si>
  <si>
    <t>2025-12-11 19:06:00</t>
  </si>
  <si>
    <t>result_1_20251211_183457.pt</t>
  </si>
  <si>
    <t>2025-12-11 20:49:46</t>
  </si>
  <si>
    <t>result_11_20251211_183458.pt</t>
  </si>
  <si>
    <t>3g51_A_rec_3g51_anp_lig_tt_min_0.sdf</t>
  </si>
  <si>
    <t>2025-12-11 19:17:42</t>
  </si>
  <si>
    <t>result_14_20251211_183804.pt</t>
  </si>
  <si>
    <t>2rhy_A_rec_2rhy_mlz_lig_tt_min_0.sdf</t>
  </si>
  <si>
    <t>2025-12-11 20:42:41</t>
  </si>
  <si>
    <t>result_15_20251211_183353.pt</t>
  </si>
  <si>
    <t>2pqw_A_rec_2rhy_mlz_lig_tt_min_0.sdf</t>
  </si>
  <si>
    <t>2025-12-11 20:44:33</t>
  </si>
  <si>
    <t>result_17_20251211_183559.pt</t>
  </si>
  <si>
    <t>5bur_A_rec_5x8f_amp_lig_tt_docked_7.sdf</t>
  </si>
  <si>
    <t>2025-12-11 20:52:37</t>
  </si>
  <si>
    <t>result_2_20251211_183558.pt</t>
  </si>
  <si>
    <t>4yhj_A_rec_4yhj_an2_lig_tt_min_0.sdf</t>
  </si>
  <si>
    <t>2025-12-11 20:47:54</t>
  </si>
  <si>
    <t>result_20_20251211_183353.pt</t>
  </si>
  <si>
    <t>1dxo_C_rec_1gg5_e09_lig_tt_min_0.sdf</t>
  </si>
  <si>
    <t>2025-12-11 20:49:29</t>
  </si>
  <si>
    <t>result_21_20251211_183456.pt</t>
  </si>
  <si>
    <t>1gg5_A_rec_1kbo_340_lig_tt_min_0.sdf</t>
  </si>
  <si>
    <t>2025-12-11 20:39:07</t>
  </si>
  <si>
    <t>result_23_20251211_183700.pt</t>
  </si>
  <si>
    <t>5b08_A_rec_5b09_4mx_lig_tt_min_0.sdf</t>
  </si>
  <si>
    <t>2025-12-11 20:46:29</t>
  </si>
  <si>
    <t>result_24_20251211_183801.pt</t>
  </si>
  <si>
    <t>2azy_A_rec_2azy_chd_lig_tt_docked_0.sdf</t>
  </si>
  <si>
    <t>2025-12-11 19:17:46</t>
  </si>
  <si>
    <t>result_5_20251211_183355.pt</t>
  </si>
  <si>
    <t>4rn0_B_rec_4rn1_l8g_lig_tt_min_0.sdf</t>
  </si>
  <si>
    <t>2025-12-11 20:51:07</t>
  </si>
  <si>
    <t>result_6_20251211_183459.pt</t>
  </si>
  <si>
    <t>1fmc_B_rec_1fmc_cho_lig_tt_docked_1.sdf</t>
  </si>
  <si>
    <t>2025-12-11 20:45:39</t>
  </si>
  <si>
    <t>result_8_20251211_183704.pt</t>
  </si>
  <si>
    <t>1a2g_A_rec_4jmv_1ly_lig_tt_min_0.sdf</t>
  </si>
  <si>
    <t>2025-12-11 19:06:16</t>
  </si>
  <si>
    <t>2025-12-11 20:48:43</t>
  </si>
  <si>
    <t>result_25_20251211_183356.pt</t>
  </si>
  <si>
    <t>5i0b_A_rec_5vef_m77_lig_tt_min_0.sdf</t>
  </si>
  <si>
    <t>2025-12-11 19:17:58</t>
  </si>
  <si>
    <t>2025-12-11 21:11:04</t>
  </si>
  <si>
    <t>result_26_20251211_183459.pt</t>
  </si>
  <si>
    <t>1phk_A_rec_1phk_atp_lig_tt_min_0.sdf</t>
  </si>
  <si>
    <t>2025-12-11 21:05:14</t>
  </si>
  <si>
    <t>result_27_20251211_183601.pt</t>
  </si>
  <si>
    <t>4keu_A_rec_4ket_pg4_lig_tt_min_0.sdf</t>
  </si>
  <si>
    <t>2025-12-11 20:38:27</t>
  </si>
  <si>
    <t>2025-12-11 20:49:55</t>
  </si>
  <si>
    <t>result_28_20251211_183700.pt</t>
  </si>
  <si>
    <t>4q8b_B_rec_4q8b_sxx_lig_tt_min_0.sdf</t>
  </si>
  <si>
    <t>2025-12-11 20:39:15</t>
  </si>
  <si>
    <t>2025-12-11 20:52:55</t>
  </si>
  <si>
    <t>result_29_20251211_183757.pt</t>
  </si>
  <si>
    <t>1djy_A_rec_1djz_ip2_lig_tt_min_0.sdf</t>
  </si>
  <si>
    <t>2025-12-11 20:42:48</t>
  </si>
  <si>
    <t>2025-12-11 20:58:36</t>
  </si>
  <si>
    <t>result_30_20251211_183857.pt</t>
  </si>
  <si>
    <t>5l1v_A_rec_5l1v_7pf_lig_tt_docked_0.sdf</t>
  </si>
  <si>
    <t>2025-12-11 20:43:35</t>
  </si>
  <si>
    <t>2025-12-11 21:12:18</t>
  </si>
  <si>
    <t>result_31_20251211_184001.pt</t>
  </si>
  <si>
    <t>4zfa_A_rec_1smj_pam_lig_tt_min_0.sdf</t>
  </si>
  <si>
    <t>2025-12-11 20:44:42</t>
  </si>
  <si>
    <t>2025-12-11 21:08:29</t>
  </si>
  <si>
    <t>result_32_20251211_184104.pt</t>
  </si>
  <si>
    <t>2rma_A_rec_3rdd_ea4_lig_tt_docked_0.sdf</t>
  </si>
  <si>
    <t>2025-12-11 20:45:47</t>
  </si>
  <si>
    <t>2025-12-11 21:06:25</t>
  </si>
  <si>
    <t>result_33_20251211_184206.pt</t>
  </si>
  <si>
    <t>3b6h_A_rec_3b6h_mxd_lig_tt_min_0.sdf</t>
  </si>
  <si>
    <t>2025-12-11 20:46:37</t>
  </si>
  <si>
    <t>2025-12-11 20:55:34</t>
  </si>
  <si>
    <t>result_34_20251211_184308.pt</t>
  </si>
  <si>
    <t>2zen_A_rec_2afx_1bn_lig_tt_docked_7.sdf</t>
  </si>
  <si>
    <t>2025-12-11 20:48:02</t>
  </si>
  <si>
    <t>2025-12-11 20:57:03</t>
  </si>
  <si>
    <t>result_35_20251211_183903.pt</t>
  </si>
  <si>
    <t>4p6p_A_rec_4p77_5rp_lig_tt_docked_0.sdf</t>
  </si>
  <si>
    <t>2025-12-11 20:48:18</t>
  </si>
  <si>
    <t>2025-12-11 21:22:46</t>
  </si>
  <si>
    <t>result_36_20251211_184007.pt</t>
  </si>
  <si>
    <t>3u5y_B_rec_3u57_dh8_lig_tt_min_0.sdf</t>
  </si>
  <si>
    <t>2025-12-11 20:48:51</t>
  </si>
  <si>
    <t>2025-12-11 21:13:31</t>
  </si>
  <si>
    <t>result_37_20251211_184114.pt</t>
  </si>
  <si>
    <t>4f1m_A_rec_4f1m_acp_lig_tt_min_0.sdf</t>
  </si>
  <si>
    <t>2025-12-11 20:49:38</t>
  </si>
  <si>
    <t>2025-12-11 21:02:15</t>
  </si>
  <si>
    <t>result_38_20251211_184210.pt</t>
  </si>
  <si>
    <t>4tqr_A_rec_2xca_doc_lig_tt_min_0.sdf</t>
  </si>
  <si>
    <t>2025-12-11 20:49:54</t>
  </si>
  <si>
    <t>2025-12-11 21:08:12</t>
  </si>
  <si>
    <t>result_39_20251211_184312.pt</t>
  </si>
  <si>
    <t>4lfu_A_rec_4y13_480_lig_tt_min_0.sdf</t>
  </si>
  <si>
    <t>2025-12-11 20:50:01</t>
  </si>
  <si>
    <t>2025-12-11 21:04:17</t>
  </si>
  <si>
    <t>result_40_20251211_183904.pt</t>
  </si>
  <si>
    <t>3jyh_A_rec_3n0t_opy_lig_tt_min_0.sdf</t>
  </si>
  <si>
    <t>2025-12-11 20:50:43</t>
  </si>
  <si>
    <t>2025-12-11 21:30:29</t>
  </si>
  <si>
    <t>result_41_20251211_184004.pt</t>
  </si>
  <si>
    <t>4iwq_A_rec_4jlc_su6_lig_tt_min_0.sdf</t>
  </si>
  <si>
    <t>2025-12-11 20:50:44</t>
  </si>
  <si>
    <t>2025-12-11 21:05:27</t>
  </si>
  <si>
    <t>result_42_20251211_184106.pt</t>
  </si>
  <si>
    <t>1l3l_A_rec_1l3l_lae_lig_tt_min_0.sdf</t>
  </si>
  <si>
    <t>2025-12-11 20:51:16</t>
  </si>
  <si>
    <t>2025-12-11 20:59:23</t>
  </si>
  <si>
    <t>result_43_20251211_184205.pt</t>
  </si>
  <si>
    <t>5ngz_A_rec_5ngz_2bg_lig_tt_min_0.sdf</t>
  </si>
  <si>
    <t>2025-12-11 20:51:31</t>
  </si>
  <si>
    <t>2025-12-11 21:19:41</t>
  </si>
  <si>
    <t>result_44_20251211_184306.pt</t>
  </si>
  <si>
    <t>1e8h_A_rec_1e8h_adp_lig_tt_min_0.sdf</t>
  </si>
  <si>
    <t>2025-12-11 20:52:17</t>
  </si>
  <si>
    <t>2025-12-11 21:09:28</t>
  </si>
  <si>
    <t>result_45_20251211_183907.pt</t>
  </si>
  <si>
    <t>2e24_A_rec_1j0n_ceg_lig_tt_docked_14.sdf</t>
  </si>
  <si>
    <t>2025-12-11 20:52:45</t>
  </si>
  <si>
    <t>2025-12-11 20:59:54</t>
  </si>
  <si>
    <t>result_46_20251211_184006.pt</t>
  </si>
  <si>
    <t>2hcj_B_rec_2hcj_gdp_lig_tt_docked_0.sdf</t>
  </si>
  <si>
    <t>2025-12-11 20:53:02</t>
  </si>
  <si>
    <t>2025-12-11 21:01:05</t>
  </si>
  <si>
    <t>result_47_20251211_184106.pt</t>
  </si>
  <si>
    <t>3kc1_A_rec_3kc1_2t6_lig_tt_min_0.sdf</t>
  </si>
  <si>
    <t>2025-12-11 20:53:50</t>
  </si>
  <si>
    <t>2025-12-11 21:28:28</t>
  </si>
  <si>
    <t>result_52_20251211_184105.pt</t>
  </si>
  <si>
    <t>3v4t_A_rec_4e7f_udp_lig_tt_min_0.sdf</t>
  </si>
  <si>
    <t>2025-12-11 20:53:51</t>
  </si>
  <si>
    <t>2025-12-11 21:06:20</t>
  </si>
  <si>
    <t>result_49_20251211_184312.pt</t>
  </si>
  <si>
    <t>4ja8_B_rec_4ja8_1k9_lig_tt_docked_0.sdf</t>
  </si>
  <si>
    <t>2025-12-11 21:04:32</t>
  </si>
  <si>
    <t>result_50_20251211_183904.pt</t>
  </si>
  <si>
    <t>4u5s_A_rec_4u54_3c5_lig_tt_min_0.sdf</t>
  </si>
  <si>
    <t>2025-12-11 20:53:52</t>
  </si>
  <si>
    <t>2025-12-11 21:05:48</t>
  </si>
  <si>
    <t>result_48_20251211_184207.pt</t>
  </si>
  <si>
    <t>1d7j_A_rec_1tco_fk5_lig_tt_docked_0.sdf</t>
  </si>
  <si>
    <t>2025-12-11 20:55:44</t>
  </si>
  <si>
    <t>2025-12-11 21:21:52</t>
  </si>
  <si>
    <t>result_53_20251211_184207.pt</t>
  </si>
  <si>
    <t>3tym_A_rec_3n5v_xfh_lig_tt_min_0.sdf</t>
  </si>
  <si>
    <t>2025-12-11 20:57:13</t>
  </si>
  <si>
    <t>2025-12-11 21:19:19</t>
  </si>
  <si>
    <t>result_54_20251211_184310.pt</t>
  </si>
  <si>
    <t>4d7o_A_rec_3n5z_xfm_lig_tt_min_0.sdf</t>
  </si>
  <si>
    <t>2025-12-11 20:58:44</t>
  </si>
  <si>
    <t>result_55_20251211_183907.pt</t>
  </si>
  <si>
    <t>3ej8_A_rec_2nsi_itu_lig_tt_min_0.sdf</t>
  </si>
  <si>
    <t>2025-12-11 20:59:31</t>
  </si>
  <si>
    <t>2025-12-11 21:09:15</t>
  </si>
  <si>
    <t>result_56_20251211_184008.pt</t>
  </si>
  <si>
    <t>1rs9_A_rec_1dmk_itu_lig_tt_min_0.sdf</t>
  </si>
  <si>
    <t>2025-12-11 21:00:03</t>
  </si>
  <si>
    <t>2025-12-11 21:26:54</t>
  </si>
  <si>
    <t>result_57_20251211_184112.pt</t>
  </si>
  <si>
    <t>4kcq_A_rec_4cwv_hw8_lig_tt_min_0.sdf</t>
  </si>
  <si>
    <t>2025-12-11 21:01:14</t>
  </si>
  <si>
    <t>2025-12-11 21:14:10</t>
  </si>
  <si>
    <t>result_58_20251211_184218.pt</t>
  </si>
  <si>
    <t>3pdh_A_rec_4buz_ocz_lig_tt_min_0.sdf</t>
  </si>
  <si>
    <t>2025-12-11 21:02:24</t>
  </si>
  <si>
    <t>2025-12-11 21:16:17</t>
  </si>
  <si>
    <t>result_59_20251211_184327.pt</t>
  </si>
  <si>
    <t>1umd_B_rec_1umb_tdp_lig_tt_docked_1.sdf</t>
  </si>
  <si>
    <t>2025-12-11 21:04:24</t>
  </si>
  <si>
    <t>2025-12-11 21:38:22</t>
  </si>
  <si>
    <t>result_60_20251211_184411.pt</t>
  </si>
  <si>
    <t>4pxz_A_rec_4pxz_6ad_lig_tt_min_0.sdf</t>
  </si>
  <si>
    <t>2025-12-11 21:04:41</t>
  </si>
  <si>
    <t>2025-12-11 21:09:10</t>
  </si>
  <si>
    <t>result_61_20251211_184517.pt</t>
  </si>
  <si>
    <t>2025-12-11 21:05:22</t>
  </si>
  <si>
    <t>2025-12-11 21:18:20</t>
  </si>
  <si>
    <t>result_62_20251211_184638.pt</t>
  </si>
  <si>
    <t>1ai4_A_rec_1ai5_mnp_lig_tt_docked_0.sdf</t>
  </si>
  <si>
    <t>2025-12-11 21:05:34</t>
  </si>
  <si>
    <t>2025-12-11 21:22:19</t>
  </si>
  <si>
    <t>result_63_20251211_184752.pt</t>
  </si>
  <si>
    <t>5mma_A_rec_4ztf_x2p_lig_tt_min_0.sdf</t>
  </si>
  <si>
    <t>2025-12-11 21:05:57</t>
  </si>
  <si>
    <t>2025-12-11 21:17:39</t>
  </si>
  <si>
    <t>result_64_20251211_184851.pt</t>
  </si>
  <si>
    <t>2cy0_A_rec_2d5c_skm_lig_tt_min_0.sdf</t>
  </si>
  <si>
    <t>2025-12-11 21:06:28</t>
  </si>
  <si>
    <t>2025-12-11 21:19:39</t>
  </si>
  <si>
    <t>result_65_20251211_184412.pt</t>
  </si>
  <si>
    <t>3w83_B_rec_2e6d_fum_lig_tt_min_0.sdf</t>
  </si>
  <si>
    <t>2025-12-11 21:07:33</t>
  </si>
  <si>
    <t>2025-12-11 21:15:32</t>
  </si>
  <si>
    <t>result_66_20251211_184510.pt</t>
  </si>
  <si>
    <t>2e6d_A_rec_2e6d_fum_lig_tt_min_0.sdf</t>
  </si>
  <si>
    <t>2025-12-11 21:08:20</t>
  </si>
  <si>
    <t>2025-12-11 21:26:10</t>
  </si>
  <si>
    <t>result_67_20251211_184611.pt</t>
  </si>
  <si>
    <t>4rv4_A_rec_4rv4_prp_lig_tt_docked_2.sdf</t>
  </si>
  <si>
    <t>2025-12-11 21:08:35</t>
  </si>
  <si>
    <t>2025-12-11 21:26:45</t>
  </si>
  <si>
    <t>result_68_20251211_184720.pt</t>
  </si>
  <si>
    <t>5d7n_D_rec_4jt9_1ns_lig_tt_min_0.sdf</t>
  </si>
  <si>
    <t>2025-12-11 21:08:36</t>
  </si>
  <si>
    <t>2025-12-11 21:14:24</t>
  </si>
  <si>
    <t>result_69_20251211_184829.pt</t>
  </si>
  <si>
    <t>5mgl_A_rec_5mgl_7mu_lig_tt_min_0.sdf</t>
  </si>
  <si>
    <t>2025-12-11 21:09:18</t>
  </si>
  <si>
    <t>2025-12-11 21:33:48</t>
  </si>
  <si>
    <t>result_70_20251211_184415.pt</t>
  </si>
  <si>
    <t>1h36_A_rec_1o79_r23_lig_tt_docked_5.sdf</t>
  </si>
  <si>
    <t>2025-12-11 21:09:36</t>
  </si>
  <si>
    <t>2025-12-11 21:16:08</t>
  </si>
  <si>
    <t>result_71_20251211_184512.pt</t>
  </si>
  <si>
    <t>4gvd_A_rec_4nxr_ans_lig_tt_min_0.sdf</t>
  </si>
  <si>
    <t>2025-12-11 21:10:23</t>
  </si>
  <si>
    <t>2025-12-11 21:41:47</t>
  </si>
  <si>
    <t>result_72_20251211_184613.pt</t>
  </si>
  <si>
    <t>4tos_A_rec_4tos_355_lig_tt_min_0.sdf</t>
  </si>
  <si>
    <t>2025-12-11 21:11:11</t>
  </si>
  <si>
    <t>2025-12-11 21:23:59</t>
  </si>
  <si>
    <t>result_73_20251211_184715.pt</t>
  </si>
  <si>
    <t>5aeh_A_rec_5aeh_8ir_lig_tt_docked_0.sdf</t>
  </si>
  <si>
    <t>2025-12-11 21:12:25</t>
  </si>
  <si>
    <t>2025-12-11 21:25:35</t>
  </si>
  <si>
    <t>result_74_20251211_184816.pt</t>
  </si>
  <si>
    <t>4h3c_A_rec_5cqj_53q_lig_tt_docked_2.sdf</t>
  </si>
  <si>
    <t>2025-12-11 21:13:38</t>
  </si>
  <si>
    <t>2025-12-11 21:33:42</t>
  </si>
  <si>
    <t>result_75_20251211_184417.pt</t>
  </si>
  <si>
    <t>4rlu_A_rec_4rlu_hcc_lig_tt_min_0.sdf</t>
  </si>
  <si>
    <t>2025-12-11 21:14:17</t>
  </si>
  <si>
    <t>2025-12-11 21:30:47</t>
  </si>
  <si>
    <t>result_76_20251211_184520.pt</t>
  </si>
  <si>
    <t>4xli_B_rec_4xli_1n1_lig_tt_min_0.sdf</t>
  </si>
  <si>
    <t>2025-12-11 21:14:31</t>
  </si>
  <si>
    <t>2025-12-11 21:23:13</t>
  </si>
  <si>
    <t>result_77_20251211_184624.pt</t>
  </si>
  <si>
    <t>3l3n_A_rec_2iux_nxa_lig_tt_docked_2.sdf</t>
  </si>
  <si>
    <t>2025-12-11 21:15:40</t>
  </si>
  <si>
    <t>2025-12-11 21:26:58</t>
  </si>
  <si>
    <t>result_78_20251211_184723.pt</t>
  </si>
  <si>
    <t>5tjn_A_rec_1zj1_nlc_lig_tt_docked_4.sdf</t>
  </si>
  <si>
    <t>2025-12-11 21:16:16</t>
  </si>
  <si>
    <t>2025-12-11 21:37:49</t>
  </si>
  <si>
    <t>result_79_20251211_184826.pt</t>
  </si>
  <si>
    <t>5liu_X_rec_4gq0_qap_lig_tt_min_0.sdf</t>
  </si>
  <si>
    <t>2025-12-11 21:16:25</t>
  </si>
  <si>
    <t>2025-12-11 21:47:59</t>
  </si>
  <si>
    <t>result_80_20251211_184417.pt</t>
  </si>
  <si>
    <t>3o96_A_rec_3o96_iqo_lig_tt_docked_2.sdf</t>
  </si>
  <si>
    <t>2025-12-11 21:17:48</t>
  </si>
  <si>
    <t>2025-12-11 21:47:08</t>
  </si>
  <si>
    <t>result_81_20251211_184522.pt</t>
  </si>
  <si>
    <t>4qlk_A_rec_4qlk_ctt_lig_tt_docked_0.sdf</t>
  </si>
  <si>
    <t>2025-12-11 21:18:28</t>
  </si>
  <si>
    <t>2025-12-11 21:32:42</t>
  </si>
  <si>
    <t>result_82_20251211_184624.pt</t>
  </si>
  <si>
    <t>3hy9_B_rec_3hyg_099_lig_tt_min_0.sdf</t>
  </si>
  <si>
    <t>2025-12-11 21:19:27</t>
  </si>
  <si>
    <t>2025-12-11 21:53:52</t>
  </si>
  <si>
    <t>result_83_20251211_184728.pt</t>
  </si>
  <si>
    <t>4bel_A_rec_2ewy_dbo_lig_tt_min_0.sdf</t>
  </si>
  <si>
    <t>2025-12-11 21:19:48</t>
  </si>
  <si>
    <t>2025-12-11 21:33:41</t>
  </si>
  <si>
    <t>result_84_20251211_184834.pt</t>
  </si>
  <si>
    <t>3nfb_A_rec_3nfb_oae_lig_tt_docked_2.sdf</t>
  </si>
  <si>
    <t>2025-12-11 21:19:49</t>
  </si>
  <si>
    <t>2025-12-11 21:42:00</t>
  </si>
  <si>
    <t>result_85_20251211_184437.pt</t>
  </si>
  <si>
    <t>4m7t_A_rec_4m7t_sam_lig_tt_min_0.sdf</t>
  </si>
  <si>
    <t>2025-12-11 21:22:01</t>
  </si>
  <si>
    <t>2025-12-11 21:36:33</t>
  </si>
  <si>
    <t>result_86_20251211_184551.pt</t>
  </si>
  <si>
    <t>3u9f_C_rec_3u9f_clm_lig_tt_min_0.sdf</t>
  </si>
  <si>
    <t>2025-12-11 21:22:28</t>
  </si>
  <si>
    <t>2025-12-11 21:32:05</t>
  </si>
  <si>
    <t>result_87_20251211_184656.pt</t>
  </si>
  <si>
    <t>4aua_A_rec_4aua_4au_lig_it2_tt_docked_7.sdf</t>
  </si>
  <si>
    <t>2025-12-11 21:37:11</t>
  </si>
  <si>
    <t>result_88_20251211_184756.pt</t>
  </si>
  <si>
    <t>2f2c_B_rec_1xo2_fse_lig_tt_min_0.sdf</t>
  </si>
  <si>
    <t>2025-12-11 21:22:54</t>
  </si>
  <si>
    <t>2025-12-11 21:34:13</t>
  </si>
  <si>
    <t>result_89_20251211_184912.pt</t>
  </si>
  <si>
    <t>3chc_B_rec_3ch9_xrg_lig_tt_min_0.sdf</t>
  </si>
  <si>
    <t>2025-12-11 21:23:20</t>
  </si>
  <si>
    <t>2025-12-11 21:30:01</t>
  </si>
  <si>
    <t>result_90_20251211_184918.pt</t>
  </si>
  <si>
    <t>1k9t_A_rec_2wlz_dio_lig_tt_min_0.sdf</t>
  </si>
  <si>
    <t>2025-12-11 21:24:07</t>
  </si>
  <si>
    <t>2025-12-11 21:38:43</t>
  </si>
  <si>
    <t>result_91_20251211_185018.pt</t>
  </si>
  <si>
    <t>1h0i_A_rec_1e6z_ngo_lig_it2_tt_docked_15.sdf</t>
  </si>
  <si>
    <t>2025-12-11 21:25:44</t>
  </si>
  <si>
    <t>2025-12-11 21:51:58</t>
  </si>
  <si>
    <t>result_92_20251211_185124.pt</t>
  </si>
  <si>
    <t>4z2g_A_rec_4z2g_m6v_lig_tt_docked_16.sdf</t>
  </si>
  <si>
    <t>2025-12-11 21:26:18</t>
  </si>
  <si>
    <t>2025-12-11 21:39:56</t>
  </si>
  <si>
    <t>result_93_20251211_185224.pt</t>
  </si>
  <si>
    <t>3af2_A_rec_3af4_gcp_lig_tt_min_0.sdf</t>
  </si>
  <si>
    <t>2025-12-11 21:26:52</t>
  </si>
  <si>
    <t>2025-12-11 21:33:22</t>
  </si>
  <si>
    <t>result_94_20251211_185325.pt</t>
  </si>
  <si>
    <t>1jn2_P_rec_1val_png_lig_tt_docked_11.sdf</t>
  </si>
  <si>
    <t>2025-12-11 21:27:02</t>
  </si>
  <si>
    <t>2025-12-11 21:42:19</t>
  </si>
  <si>
    <t>result_95_20251211_184942.pt</t>
  </si>
  <si>
    <t>3li4_A_rec_2gvv_di9_lig_tt_min_0.sdf</t>
  </si>
  <si>
    <t>2025-12-11 21:27:05</t>
  </si>
  <si>
    <t>2025-12-11 21:34:09</t>
  </si>
  <si>
    <t>result_96_20251211_185042.pt</t>
  </si>
  <si>
    <t>3pnm_A_rec_3pnq_2ha_lig_tt_docked_10.sdf</t>
  </si>
  <si>
    <t>2025-12-11 21:28:36</t>
  </si>
  <si>
    <t>2025-12-11 21:40:20</t>
  </si>
  <si>
    <t>result_97_20251211_185141.pt</t>
  </si>
  <si>
    <t>1afs_A_rec_1afs_tes_lig_tt_min_0.sdf</t>
  </si>
  <si>
    <t>2025-12-11 21:30:10</t>
  </si>
  <si>
    <t>2025-12-11 21:45:03</t>
  </si>
  <si>
    <t>result_98_20251211_185243.pt</t>
  </si>
  <si>
    <t>4azf_A_rec_5lxc_7aa_lig_tt_min_0.sdf</t>
  </si>
  <si>
    <t>2025-12-11 21:30:37</t>
  </si>
  <si>
    <t>2025-12-11 21:38:52</t>
  </si>
  <si>
    <t>result_99_20251211_185343.pt</t>
  </si>
  <si>
    <t>2pc8_A_rec_1eqc_cts_lig_tt_docked_6.sdf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</si>
</sst>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9"/>
  <sheetViews>
    <sheetView tabSelected="1" topLeftCell="A55" workbookViewId="0">
      <selection activeCell="Q100" sqref="Q100"/>
    </sheetView>
  </sheetViews>
  <sheetFormatPr defaultColWidth="9" defaultRowHeight="13.5"/>
  <cols>
    <col min="17" max="17" width="11.5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="1" customFormat="1" spans="1:41">
      <c r="A2" s="1" t="s">
        <v>40</v>
      </c>
      <c r="B2" s="1" t="s">
        <v>41</v>
      </c>
      <c r="C2" s="1">
        <v>900.577665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8</v>
      </c>
      <c r="I2" s="1">
        <v>64</v>
      </c>
      <c r="J2" s="1">
        <v>64</v>
      </c>
      <c r="K2" s="1">
        <v>100</v>
      </c>
      <c r="L2" s="1">
        <v>11</v>
      </c>
      <c r="M2" s="1">
        <v>17.1875</v>
      </c>
      <c r="N2" s="1">
        <v>11</v>
      </c>
      <c r="O2" s="1">
        <v>17.1875</v>
      </c>
      <c r="P2" s="1">
        <v>-6.69381818181818</v>
      </c>
      <c r="Q2" s="1">
        <f>PRODUCT(N2,P2)</f>
        <v>-73.632</v>
      </c>
      <c r="R2" s="1">
        <v>-6.728</v>
      </c>
      <c r="S2" s="1">
        <v>-8.39</v>
      </c>
      <c r="T2" s="1">
        <v>-4.504</v>
      </c>
      <c r="U2" s="1">
        <v>-5.03072727272727</v>
      </c>
      <c r="V2" s="1">
        <v>-5.103</v>
      </c>
      <c r="W2" s="1">
        <v>-5.39963636363636</v>
      </c>
      <c r="X2" s="1">
        <v>-5.33</v>
      </c>
      <c r="Y2" s="1">
        <v>0.402642739435675</v>
      </c>
      <c r="Z2" s="1">
        <v>0.394558674299739</v>
      </c>
      <c r="AA2" s="1">
        <v>0.645</v>
      </c>
      <c r="AB2" s="1">
        <v>0.63</v>
      </c>
      <c r="AC2" s="1">
        <v>0.236139352672329</v>
      </c>
      <c r="AD2" s="1">
        <v>0.245042433253394</v>
      </c>
      <c r="AE2" s="1">
        <v>0.762725361189986</v>
      </c>
      <c r="AF2" s="1">
        <v>0.796831757813064</v>
      </c>
      <c r="AG2" s="1" t="s">
        <v>46</v>
      </c>
      <c r="AH2" s="1">
        <v>0.808426840910432</v>
      </c>
      <c r="AI2" s="1" t="s">
        <v>46</v>
      </c>
      <c r="AJ2" s="1" t="s">
        <v>46</v>
      </c>
      <c r="AK2" s="1">
        <v>0.802301306261251</v>
      </c>
      <c r="AL2" s="1">
        <v>0.823446769957939</v>
      </c>
      <c r="AM2" s="1">
        <v>0.352891222421175</v>
      </c>
      <c r="AN2" s="1">
        <v>0.635320411879237</v>
      </c>
      <c r="AO2" s="1">
        <v>1</v>
      </c>
    </row>
    <row r="3" s="1" customFormat="1" spans="1:41">
      <c r="A3" s="1" t="s">
        <v>40</v>
      </c>
      <c r="B3" s="1" t="s">
        <v>47</v>
      </c>
      <c r="C3" s="1">
        <v>719.655048</v>
      </c>
      <c r="D3" s="1" t="s">
        <v>48</v>
      </c>
      <c r="E3" s="1" t="s">
        <v>49</v>
      </c>
      <c r="F3" s="1" t="s">
        <v>44</v>
      </c>
      <c r="G3" s="1" t="s">
        <v>45</v>
      </c>
      <c r="H3" s="1">
        <v>8</v>
      </c>
      <c r="I3" s="1">
        <v>64</v>
      </c>
      <c r="J3" s="1">
        <v>64</v>
      </c>
      <c r="K3" s="1">
        <v>100</v>
      </c>
      <c r="L3" s="1">
        <v>30</v>
      </c>
      <c r="M3" s="1">
        <v>46.875</v>
      </c>
      <c r="N3" s="1">
        <v>30</v>
      </c>
      <c r="O3" s="1">
        <v>46.875</v>
      </c>
      <c r="P3" s="1">
        <v>1.32383333333333</v>
      </c>
      <c r="Q3" s="1">
        <f t="shared" ref="Q3:Q34" si="0">PRODUCT(N3,P3)</f>
        <v>39.7149999999999</v>
      </c>
      <c r="R3" s="1">
        <v>0.1235</v>
      </c>
      <c r="S3" s="1">
        <v>-6.062</v>
      </c>
      <c r="T3" s="1">
        <v>12.388</v>
      </c>
      <c r="U3" s="1">
        <v>64.7485333333333</v>
      </c>
      <c r="V3" s="1">
        <v>89.5795</v>
      </c>
      <c r="W3" s="1">
        <v>28.5935666666667</v>
      </c>
      <c r="X3" s="1">
        <v>12.695</v>
      </c>
      <c r="Y3" s="1">
        <v>0.443819544546749</v>
      </c>
      <c r="Z3" s="1">
        <v>0.468237266477955</v>
      </c>
      <c r="AA3" s="1">
        <v>0.72140625</v>
      </c>
      <c r="AB3" s="1">
        <v>0.745</v>
      </c>
      <c r="AC3" s="1">
        <v>0.255349425836949</v>
      </c>
      <c r="AD3" s="1">
        <v>0.260685576001006</v>
      </c>
      <c r="AE3" s="1">
        <v>0.779069758312693</v>
      </c>
      <c r="AF3" s="1">
        <v>0.805429522965534</v>
      </c>
      <c r="AG3" s="1">
        <v>0.822277084947341</v>
      </c>
      <c r="AH3" s="1">
        <v>0.821601250516054</v>
      </c>
      <c r="AI3" s="1" t="s">
        <v>46</v>
      </c>
      <c r="AJ3" s="1" t="s">
        <v>46</v>
      </c>
      <c r="AK3" s="1">
        <v>0.803595186226394</v>
      </c>
      <c r="AL3" s="1">
        <v>0.808552855704734</v>
      </c>
      <c r="AM3" s="1">
        <v>0.507629037110993</v>
      </c>
      <c r="AN3" s="1">
        <v>0.675560725242799</v>
      </c>
      <c r="AO3" s="1">
        <v>61</v>
      </c>
    </row>
    <row r="4" s="1" customFormat="1" spans="1:41">
      <c r="A4" s="1" t="s">
        <v>50</v>
      </c>
      <c r="B4" s="1" t="s">
        <v>51</v>
      </c>
      <c r="C4" s="1">
        <v>6946.093589</v>
      </c>
      <c r="D4" s="1" t="s">
        <v>52</v>
      </c>
      <c r="E4" s="1" t="s">
        <v>53</v>
      </c>
      <c r="F4" s="1" t="s">
        <v>44</v>
      </c>
      <c r="G4" s="1" t="s">
        <v>45</v>
      </c>
      <c r="H4" s="1">
        <v>8</v>
      </c>
      <c r="I4" s="1">
        <v>64</v>
      </c>
      <c r="J4" s="1">
        <v>61</v>
      </c>
      <c r="K4" s="1">
        <v>95.3125</v>
      </c>
      <c r="L4" s="1">
        <v>26</v>
      </c>
      <c r="M4" s="1">
        <v>40.625</v>
      </c>
      <c r="N4" s="1">
        <v>26</v>
      </c>
      <c r="O4" s="1">
        <v>40.625</v>
      </c>
      <c r="P4" s="1">
        <v>-8.31126923076923</v>
      </c>
      <c r="Q4" s="1">
        <f t="shared" si="0"/>
        <v>-216.093</v>
      </c>
      <c r="R4" s="1">
        <v>-8.3775</v>
      </c>
      <c r="S4" s="1">
        <v>-11.096</v>
      </c>
      <c r="T4" s="1">
        <v>-6.447</v>
      </c>
      <c r="U4" s="1">
        <v>-6.38303846153846</v>
      </c>
      <c r="V4" s="1">
        <v>-6.223</v>
      </c>
      <c r="W4" s="1">
        <v>-6.65326923076923</v>
      </c>
      <c r="X4" s="1">
        <v>-6.644</v>
      </c>
      <c r="Y4" s="1">
        <v>0.158283296593523</v>
      </c>
      <c r="Z4" s="1">
        <v>0.137925526133676</v>
      </c>
      <c r="AA4" s="1">
        <v>0.526101694915254</v>
      </c>
      <c r="AB4" s="1">
        <v>0.52</v>
      </c>
      <c r="AC4" s="1">
        <v>0.199849710512883</v>
      </c>
      <c r="AD4" s="1">
        <v>0.198408617898467</v>
      </c>
      <c r="AE4" s="1">
        <v>0.75882786396844</v>
      </c>
      <c r="AF4" s="1">
        <v>0.819049070507264</v>
      </c>
      <c r="AG4" s="1">
        <v>0.812370694698386</v>
      </c>
      <c r="AH4" s="1">
        <v>0.773955669934085</v>
      </c>
      <c r="AI4" s="1">
        <v>0.807399809884503</v>
      </c>
      <c r="AJ4" s="1">
        <v>0.794866678203964</v>
      </c>
      <c r="AK4" s="1">
        <v>0.815553547103821</v>
      </c>
      <c r="AL4" s="1">
        <v>0.818832517351193</v>
      </c>
      <c r="AM4" s="1">
        <v>0.249142983610624</v>
      </c>
      <c r="AN4" s="1">
        <v>0.66053148449791</v>
      </c>
      <c r="AO4" s="1">
        <v>10</v>
      </c>
    </row>
    <row r="5" s="1" customFormat="1" spans="1:41">
      <c r="A5" s="1" t="s">
        <v>50</v>
      </c>
      <c r="B5" s="1" t="s">
        <v>54</v>
      </c>
      <c r="C5" s="1">
        <v>7100.454542</v>
      </c>
      <c r="D5" s="1" t="s">
        <v>55</v>
      </c>
      <c r="E5" s="1" t="s">
        <v>56</v>
      </c>
      <c r="F5" s="1" t="s">
        <v>44</v>
      </c>
      <c r="G5" s="1" t="s">
        <v>45</v>
      </c>
      <c r="H5" s="1">
        <v>8</v>
      </c>
      <c r="I5" s="1">
        <v>64</v>
      </c>
      <c r="J5" s="1">
        <v>64</v>
      </c>
      <c r="K5" s="1">
        <v>100</v>
      </c>
      <c r="L5" s="1">
        <v>46</v>
      </c>
      <c r="M5" s="1">
        <v>71.875</v>
      </c>
      <c r="N5" s="1">
        <v>46</v>
      </c>
      <c r="O5" s="1">
        <v>71.875</v>
      </c>
      <c r="P5" s="1">
        <v>-10.305847826087</v>
      </c>
      <c r="Q5" s="1">
        <f t="shared" si="0"/>
        <v>-474.069000000002</v>
      </c>
      <c r="R5" s="1">
        <v>-10.534</v>
      </c>
      <c r="S5" s="1">
        <v>-13.214</v>
      </c>
      <c r="T5" s="1">
        <v>-6.614</v>
      </c>
      <c r="U5" s="1">
        <v>17.0309347826087</v>
      </c>
      <c r="V5" s="1">
        <v>11.879</v>
      </c>
      <c r="W5" s="1">
        <v>8.9610652173913</v>
      </c>
      <c r="X5" s="1">
        <v>2.543</v>
      </c>
      <c r="Y5" s="1">
        <v>0.260770729202342</v>
      </c>
      <c r="Z5" s="1">
        <v>0.239252000117304</v>
      </c>
      <c r="AA5" s="1">
        <v>0.587301587301587</v>
      </c>
      <c r="AB5" s="1">
        <v>0.59</v>
      </c>
      <c r="AC5" s="1">
        <v>0.267329575042315</v>
      </c>
      <c r="AD5" s="1">
        <v>0.26994513220755</v>
      </c>
      <c r="AE5" s="1">
        <v>0.734455931967628</v>
      </c>
      <c r="AF5" s="1">
        <v>0.795538788734239</v>
      </c>
      <c r="AG5" s="1">
        <v>0.754440518189154</v>
      </c>
      <c r="AH5" s="1">
        <v>0.803012979502809</v>
      </c>
      <c r="AI5" s="1">
        <v>0.824614002520406</v>
      </c>
      <c r="AJ5" s="1">
        <v>0.832443047289159</v>
      </c>
      <c r="AK5" s="1">
        <v>0.803848146458462</v>
      </c>
      <c r="AL5" s="1">
        <v>0.824172706035239</v>
      </c>
      <c r="AM5" s="1">
        <v>0.282553327919398</v>
      </c>
      <c r="AN5" s="1">
        <v>0.619045675280176</v>
      </c>
      <c r="AO5" s="1">
        <v>12</v>
      </c>
    </row>
    <row r="6" s="1" customFormat="1" spans="1:41">
      <c r="A6" s="1" t="s">
        <v>50</v>
      </c>
      <c r="B6" s="1" t="s">
        <v>57</v>
      </c>
      <c r="C6" s="1">
        <v>6861.315241</v>
      </c>
      <c r="D6" s="1" t="s">
        <v>58</v>
      </c>
      <c r="E6" s="1" t="s">
        <v>59</v>
      </c>
      <c r="F6" s="1" t="s">
        <v>44</v>
      </c>
      <c r="G6" s="1" t="s">
        <v>45</v>
      </c>
      <c r="H6" s="1">
        <v>8</v>
      </c>
      <c r="I6" s="1">
        <v>64</v>
      </c>
      <c r="J6" s="1">
        <v>63</v>
      </c>
      <c r="K6" s="1">
        <v>98.4375</v>
      </c>
      <c r="L6" s="1">
        <v>28</v>
      </c>
      <c r="M6" s="1">
        <v>43.75</v>
      </c>
      <c r="N6" s="1">
        <v>28</v>
      </c>
      <c r="O6" s="1">
        <v>43.75</v>
      </c>
      <c r="P6" s="1">
        <v>-8.3075</v>
      </c>
      <c r="Q6" s="1">
        <f t="shared" si="0"/>
        <v>-232.61</v>
      </c>
      <c r="R6" s="1">
        <v>-8.339</v>
      </c>
      <c r="S6" s="1">
        <v>-10.966</v>
      </c>
      <c r="T6" s="1">
        <v>-6.074</v>
      </c>
      <c r="U6" s="1">
        <v>-6.41175</v>
      </c>
      <c r="V6" s="1">
        <v>-6.485</v>
      </c>
      <c r="W6" s="1">
        <v>-6.85017857142857</v>
      </c>
      <c r="X6" s="1">
        <v>-6.7325</v>
      </c>
      <c r="Y6" s="1">
        <v>0.22557351031015</v>
      </c>
      <c r="Z6" s="1">
        <v>0.20794480053892</v>
      </c>
      <c r="AA6" s="1">
        <v>0.570983606557377</v>
      </c>
      <c r="AB6" s="1">
        <v>0.55</v>
      </c>
      <c r="AC6" s="1">
        <v>0.163042401603233</v>
      </c>
      <c r="AD6" s="1">
        <v>0.15884727211681</v>
      </c>
      <c r="AE6" s="1">
        <v>0.759353528808412</v>
      </c>
      <c r="AF6" s="1">
        <v>0.805234525070975</v>
      </c>
      <c r="AG6" s="1">
        <v>0.821343178324407</v>
      </c>
      <c r="AH6" s="1">
        <v>0.771727272503887</v>
      </c>
      <c r="AI6" s="1">
        <v>0.807962676532697</v>
      </c>
      <c r="AJ6" s="1">
        <v>0.827513498741301</v>
      </c>
      <c r="AK6" s="1">
        <v>0.815701019306987</v>
      </c>
      <c r="AL6" s="1">
        <v>0.79179689140735</v>
      </c>
      <c r="AM6" s="1">
        <v>0.269841572067206</v>
      </c>
      <c r="AN6" s="1">
        <v>0.629182530008253</v>
      </c>
      <c r="AO6" s="1">
        <v>16</v>
      </c>
    </row>
    <row r="7" s="1" customFormat="1" spans="1:41">
      <c r="A7" s="1" t="s">
        <v>50</v>
      </c>
      <c r="B7" s="1" t="s">
        <v>60</v>
      </c>
      <c r="C7" s="1">
        <v>6575.789844</v>
      </c>
      <c r="D7" s="1" t="s">
        <v>61</v>
      </c>
      <c r="E7" s="1" t="s">
        <v>62</v>
      </c>
      <c r="F7" s="1" t="s">
        <v>44</v>
      </c>
      <c r="G7" s="1" t="s">
        <v>45</v>
      </c>
      <c r="H7" s="1">
        <v>8</v>
      </c>
      <c r="I7" s="1">
        <v>64</v>
      </c>
      <c r="J7" s="1">
        <v>64</v>
      </c>
      <c r="K7" s="1">
        <v>100</v>
      </c>
      <c r="L7" s="1">
        <v>26</v>
      </c>
      <c r="M7" s="1">
        <v>40.625</v>
      </c>
      <c r="N7" s="1">
        <v>26</v>
      </c>
      <c r="O7" s="1">
        <v>40.625</v>
      </c>
      <c r="P7" s="1">
        <v>-6.11296153846154</v>
      </c>
      <c r="Q7" s="1">
        <f t="shared" si="0"/>
        <v>-158.937</v>
      </c>
      <c r="R7" s="1">
        <v>-5.947</v>
      </c>
      <c r="S7" s="1">
        <v>-7.487</v>
      </c>
      <c r="T7" s="1">
        <v>-5.194</v>
      </c>
      <c r="U7" s="1">
        <v>-4.60515384615385</v>
      </c>
      <c r="V7" s="1">
        <v>-4.6025</v>
      </c>
      <c r="W7" s="1">
        <v>-4.90823076923077</v>
      </c>
      <c r="X7" s="1">
        <v>-4.882</v>
      </c>
      <c r="Y7" s="1">
        <v>0.347849478809346</v>
      </c>
      <c r="Z7" s="1">
        <v>0.333714426145797</v>
      </c>
      <c r="AA7" s="1">
        <v>0.674032258064516</v>
      </c>
      <c r="AB7" s="1">
        <v>0.66</v>
      </c>
      <c r="AC7" s="1">
        <v>0.159297999400976</v>
      </c>
      <c r="AD7" s="1">
        <v>0.149961293686227</v>
      </c>
      <c r="AE7" s="1">
        <v>0.731280524653326</v>
      </c>
      <c r="AF7" s="1">
        <v>0.804586034254915</v>
      </c>
      <c r="AG7" s="1">
        <v>0.765097829471908</v>
      </c>
      <c r="AH7" s="1">
        <v>0.807734076171391</v>
      </c>
      <c r="AI7" s="1">
        <v>0.819398841597954</v>
      </c>
      <c r="AJ7" s="1" t="s">
        <v>46</v>
      </c>
      <c r="AK7" s="1">
        <v>0.799511109770996</v>
      </c>
      <c r="AL7" s="1">
        <v>0.813708591241671</v>
      </c>
      <c r="AM7" s="1">
        <v>0.291839091744576</v>
      </c>
      <c r="AN7" s="1">
        <v>0.624344996991773</v>
      </c>
      <c r="AO7" s="1">
        <v>18</v>
      </c>
    </row>
    <row r="8" s="1" customFormat="1" spans="1:41">
      <c r="A8" s="1" t="s">
        <v>50</v>
      </c>
      <c r="B8" s="1" t="s">
        <v>63</v>
      </c>
      <c r="C8" s="1">
        <v>6266.499363</v>
      </c>
      <c r="D8" s="1" t="s">
        <v>64</v>
      </c>
      <c r="E8" s="1" t="s">
        <v>65</v>
      </c>
      <c r="F8" s="1" t="s">
        <v>44</v>
      </c>
      <c r="G8" s="1" t="s">
        <v>45</v>
      </c>
      <c r="H8" s="1">
        <v>8</v>
      </c>
      <c r="I8" s="1">
        <v>64</v>
      </c>
      <c r="J8" s="1">
        <v>64</v>
      </c>
      <c r="K8" s="1">
        <v>100</v>
      </c>
      <c r="L8" s="1">
        <v>38</v>
      </c>
      <c r="M8" s="1">
        <v>59.375</v>
      </c>
      <c r="N8" s="1">
        <v>38</v>
      </c>
      <c r="O8" s="1">
        <v>59.375</v>
      </c>
      <c r="P8" s="1">
        <v>-5.84786842105263</v>
      </c>
      <c r="Q8" s="1">
        <f t="shared" si="0"/>
        <v>-222.219</v>
      </c>
      <c r="R8" s="1">
        <v>-5.6575</v>
      </c>
      <c r="S8" s="1">
        <v>-7.485</v>
      </c>
      <c r="T8" s="1">
        <v>-4.685</v>
      </c>
      <c r="U8" s="1">
        <v>-3.91276315789474</v>
      </c>
      <c r="V8" s="1">
        <v>-3.844</v>
      </c>
      <c r="W8" s="1">
        <v>-4.23794736842105</v>
      </c>
      <c r="X8" s="1">
        <v>-4.346</v>
      </c>
      <c r="Y8" s="1">
        <v>0.446079595516486</v>
      </c>
      <c r="Z8" s="1">
        <v>0.454807412272</v>
      </c>
      <c r="AA8" s="1">
        <v>0.748412698412698</v>
      </c>
      <c r="AB8" s="1">
        <v>0.78</v>
      </c>
      <c r="AC8" s="1">
        <v>0.238053432050562</v>
      </c>
      <c r="AD8" s="1">
        <v>0.244430940558288</v>
      </c>
      <c r="AE8" s="1">
        <v>0.754593076088592</v>
      </c>
      <c r="AF8" s="1">
        <v>0.810996799258458</v>
      </c>
      <c r="AG8" s="1">
        <v>0.745835647342409</v>
      </c>
      <c r="AH8" s="1">
        <v>0.804516202028777</v>
      </c>
      <c r="AI8" s="1">
        <v>0.810662637220859</v>
      </c>
      <c r="AJ8" s="1" t="s">
        <v>46</v>
      </c>
      <c r="AK8" s="1">
        <v>0.809843492091397</v>
      </c>
      <c r="AL8" s="1">
        <v>0.810136422858027</v>
      </c>
      <c r="AM8" s="1">
        <v>0.403240652708132</v>
      </c>
      <c r="AN8" s="1">
        <v>0.63863699847253</v>
      </c>
      <c r="AO8" s="1">
        <v>3</v>
      </c>
    </row>
    <row r="9" s="1" customFormat="1" spans="1:41">
      <c r="A9" s="1" t="s">
        <v>50</v>
      </c>
      <c r="B9" s="1" t="s">
        <v>66</v>
      </c>
      <c r="C9" s="1">
        <v>7007.046215</v>
      </c>
      <c r="D9" s="1" t="s">
        <v>67</v>
      </c>
      <c r="E9" s="1" t="s">
        <v>68</v>
      </c>
      <c r="F9" s="1" t="s">
        <v>44</v>
      </c>
      <c r="G9" s="1" t="s">
        <v>45</v>
      </c>
      <c r="H9" s="1">
        <v>8</v>
      </c>
      <c r="I9" s="1">
        <v>64</v>
      </c>
      <c r="J9" s="1">
        <v>64</v>
      </c>
      <c r="K9" s="1">
        <v>100</v>
      </c>
      <c r="L9" s="1">
        <v>48</v>
      </c>
      <c r="M9" s="1">
        <v>75</v>
      </c>
      <c r="N9" s="1">
        <v>48</v>
      </c>
      <c r="O9" s="1">
        <v>75</v>
      </c>
      <c r="P9" s="1">
        <v>-10.2197083333333</v>
      </c>
      <c r="Q9" s="1">
        <f t="shared" si="0"/>
        <v>-490.545999999998</v>
      </c>
      <c r="R9" s="1">
        <v>-10.738</v>
      </c>
      <c r="S9" s="1">
        <v>-14.229</v>
      </c>
      <c r="T9" s="1">
        <v>-5.553</v>
      </c>
      <c r="U9" s="1">
        <v>-9.03102083333333</v>
      </c>
      <c r="V9" s="1">
        <v>-9.1015</v>
      </c>
      <c r="W9" s="1">
        <v>-9.29783333333333</v>
      </c>
      <c r="X9" s="1">
        <v>-9.553</v>
      </c>
      <c r="Y9" s="1">
        <v>0.210406716185334</v>
      </c>
      <c r="Z9" s="1">
        <v>0.163413583075128</v>
      </c>
      <c r="AA9" s="1">
        <v>0.537258064516129</v>
      </c>
      <c r="AB9" s="1">
        <v>0.535</v>
      </c>
      <c r="AC9" s="1">
        <v>0.283663621815663</v>
      </c>
      <c r="AD9" s="1">
        <v>0.287698058134774</v>
      </c>
      <c r="AE9" s="1">
        <v>0.75725042306967</v>
      </c>
      <c r="AF9" s="1">
        <v>0.800983040415903</v>
      </c>
      <c r="AG9" s="1">
        <v>0.83142019659054</v>
      </c>
      <c r="AH9" s="1">
        <v>0.764764973331015</v>
      </c>
      <c r="AI9" s="1">
        <v>0.813681087162093</v>
      </c>
      <c r="AJ9" s="1">
        <v>0.781126853568464</v>
      </c>
      <c r="AK9" s="1">
        <v>0.812392404679417</v>
      </c>
      <c r="AL9" s="1">
        <v>0.817201651991044</v>
      </c>
      <c r="AM9" s="1">
        <v>0.307232899987976</v>
      </c>
      <c r="AN9" s="1">
        <v>0.649127580398601</v>
      </c>
      <c r="AO9" s="1">
        <v>4</v>
      </c>
    </row>
    <row r="10" s="1" customFormat="1" spans="1:41">
      <c r="A10" s="1" t="s">
        <v>69</v>
      </c>
      <c r="B10" s="1" t="s">
        <v>70</v>
      </c>
      <c r="C10" s="1">
        <v>7054.567568</v>
      </c>
      <c r="D10" s="1" t="s">
        <v>71</v>
      </c>
      <c r="E10" s="1" t="s">
        <v>72</v>
      </c>
      <c r="F10" s="1" t="s">
        <v>44</v>
      </c>
      <c r="G10" s="1" t="s">
        <v>45</v>
      </c>
      <c r="H10" s="1">
        <v>8</v>
      </c>
      <c r="I10" s="1">
        <v>64</v>
      </c>
      <c r="J10" s="1">
        <v>62</v>
      </c>
      <c r="K10" s="1">
        <v>96.875</v>
      </c>
      <c r="L10" s="1">
        <v>38</v>
      </c>
      <c r="M10" s="1">
        <v>59.375</v>
      </c>
      <c r="N10" s="1">
        <v>38</v>
      </c>
      <c r="O10" s="1">
        <v>59.375</v>
      </c>
      <c r="P10" s="1">
        <v>-9.09484210526316</v>
      </c>
      <c r="Q10" s="1">
        <f t="shared" si="0"/>
        <v>-345.604</v>
      </c>
      <c r="R10" s="1">
        <v>-8.919</v>
      </c>
      <c r="S10" s="1">
        <v>-12.579</v>
      </c>
      <c r="T10" s="1">
        <v>-7.076</v>
      </c>
      <c r="U10" s="1">
        <v>-7.73921052631579</v>
      </c>
      <c r="V10" s="1">
        <v>-7.668</v>
      </c>
      <c r="W10" s="1">
        <v>-8.24331578947368</v>
      </c>
      <c r="X10" s="1">
        <v>-8.27</v>
      </c>
      <c r="Y10" s="1">
        <v>0.212925817315763</v>
      </c>
      <c r="Z10" s="1">
        <v>0.186457720461572</v>
      </c>
      <c r="AA10" s="1">
        <v>0.551639344262295</v>
      </c>
      <c r="AB10" s="1">
        <v>0.55</v>
      </c>
      <c r="AC10" s="1">
        <v>0.141866277554302</v>
      </c>
      <c r="AD10" s="1">
        <v>0.137727309063984</v>
      </c>
      <c r="AE10" s="1">
        <v>0.753152699034211</v>
      </c>
      <c r="AF10" s="1">
        <v>0.814321745572515</v>
      </c>
      <c r="AG10" s="1">
        <v>0.810333490440871</v>
      </c>
      <c r="AH10" s="1">
        <v>0.786343854111318</v>
      </c>
      <c r="AI10" s="1">
        <v>0.819281677423355</v>
      </c>
      <c r="AJ10" s="1">
        <v>0.787313369593914</v>
      </c>
      <c r="AK10" s="1">
        <v>0.796124115230333</v>
      </c>
      <c r="AL10" s="1">
        <v>0.811544552493186</v>
      </c>
      <c r="AM10" s="1">
        <v>0.25579840334377</v>
      </c>
      <c r="AN10" s="1">
        <v>0.657182015313385</v>
      </c>
      <c r="AO10" s="1">
        <v>0</v>
      </c>
    </row>
    <row r="11" s="1" customFormat="1" spans="1:41">
      <c r="A11" s="1" t="s">
        <v>69</v>
      </c>
      <c r="B11" s="1" t="s">
        <v>73</v>
      </c>
      <c r="C11" s="1">
        <v>731.833679</v>
      </c>
      <c r="D11" s="1" t="s">
        <v>74</v>
      </c>
      <c r="E11" s="1" t="s">
        <v>43</v>
      </c>
      <c r="F11" s="1" t="s">
        <v>44</v>
      </c>
      <c r="G11" s="1" t="s">
        <v>45</v>
      </c>
      <c r="H11" s="1">
        <v>8</v>
      </c>
      <c r="I11" s="1">
        <v>64</v>
      </c>
      <c r="J11" s="1">
        <v>64</v>
      </c>
      <c r="K11" s="1">
        <v>100</v>
      </c>
      <c r="L11" s="1">
        <v>12</v>
      </c>
      <c r="M11" s="1">
        <v>18.75</v>
      </c>
      <c r="N11" s="1">
        <v>12</v>
      </c>
      <c r="O11" s="1">
        <v>18.75</v>
      </c>
      <c r="P11" s="1">
        <v>-7.03675</v>
      </c>
      <c r="Q11" s="1">
        <f t="shared" si="0"/>
        <v>-84.441</v>
      </c>
      <c r="R11" s="1">
        <v>-6.8665</v>
      </c>
      <c r="S11" s="1">
        <v>-10.874</v>
      </c>
      <c r="T11" s="1">
        <v>-4.483</v>
      </c>
      <c r="U11" s="1">
        <v>-5.23716666666667</v>
      </c>
      <c r="V11" s="1">
        <v>-5.163</v>
      </c>
      <c r="W11" s="1">
        <v>-5.65383333333333</v>
      </c>
      <c r="X11" s="1">
        <v>-5.371</v>
      </c>
      <c r="Y11" s="1">
        <v>0.400526349419094</v>
      </c>
      <c r="Z11" s="1">
        <v>0.394558674299739</v>
      </c>
      <c r="AA11" s="1">
        <v>0.6459375</v>
      </c>
      <c r="AB11" s="1">
        <v>0.635</v>
      </c>
      <c r="AC11" s="1">
        <v>0.232621542133116</v>
      </c>
      <c r="AD11" s="1">
        <v>0.244850153532874</v>
      </c>
      <c r="AE11" s="1">
        <v>0.759929452722985</v>
      </c>
      <c r="AF11" s="1">
        <v>0.795973826481469</v>
      </c>
      <c r="AG11" s="1">
        <v>0.81022808843382</v>
      </c>
      <c r="AH11" s="1">
        <v>0.813436876280251</v>
      </c>
      <c r="AI11" s="1">
        <v>0.832554611157698</v>
      </c>
      <c r="AJ11" s="1" t="s">
        <v>46</v>
      </c>
      <c r="AK11" s="1">
        <v>0.802324159190219</v>
      </c>
      <c r="AL11" s="1">
        <v>0.817205851690888</v>
      </c>
      <c r="AM11" s="1">
        <v>0.343089833096206</v>
      </c>
      <c r="AN11" s="1">
        <v>0.639948797903278</v>
      </c>
      <c r="AO11" s="1">
        <v>1</v>
      </c>
    </row>
    <row r="12" s="1" customFormat="1" spans="1:41">
      <c r="A12" s="1" t="s">
        <v>69</v>
      </c>
      <c r="B12" s="1" t="s">
        <v>75</v>
      </c>
      <c r="C12" s="1">
        <v>6957.521251</v>
      </c>
      <c r="D12" s="1" t="s">
        <v>76</v>
      </c>
      <c r="E12" s="1" t="s">
        <v>77</v>
      </c>
      <c r="F12" s="1" t="s">
        <v>44</v>
      </c>
      <c r="G12" s="1" t="s">
        <v>45</v>
      </c>
      <c r="H12" s="1">
        <v>8</v>
      </c>
      <c r="I12" s="1">
        <v>64</v>
      </c>
      <c r="J12" s="1">
        <v>63</v>
      </c>
      <c r="K12" s="1">
        <v>98.4375</v>
      </c>
      <c r="L12" s="1">
        <v>37</v>
      </c>
      <c r="M12" s="1">
        <v>57.8125</v>
      </c>
      <c r="N12" s="1">
        <v>37</v>
      </c>
      <c r="O12" s="1">
        <v>57.8125</v>
      </c>
      <c r="P12" s="1">
        <v>-9.10324324324324</v>
      </c>
      <c r="Q12" s="1">
        <f t="shared" si="0"/>
        <v>-336.82</v>
      </c>
      <c r="R12" s="1">
        <v>-9.172</v>
      </c>
      <c r="S12" s="1">
        <v>-11.457</v>
      </c>
      <c r="T12" s="1">
        <v>-6.56</v>
      </c>
      <c r="U12" s="1">
        <v>-8.06372972972973</v>
      </c>
      <c r="V12" s="1">
        <v>-7.94</v>
      </c>
      <c r="W12" s="1">
        <v>-8.30178378378378</v>
      </c>
      <c r="X12" s="1">
        <v>-8.227</v>
      </c>
      <c r="Y12" s="1">
        <v>0.192092075128259</v>
      </c>
      <c r="Z12" s="1">
        <v>0.179321848126608</v>
      </c>
      <c r="AA12" s="1">
        <v>0.535737704918033</v>
      </c>
      <c r="AB12" s="1">
        <v>0.54</v>
      </c>
      <c r="AC12" s="1">
        <v>0.157568446396548</v>
      </c>
      <c r="AD12" s="1">
        <v>0.153156090728311</v>
      </c>
      <c r="AE12" s="1">
        <v>0.76155528157571</v>
      </c>
      <c r="AF12" s="1">
        <v>0.80978577688918</v>
      </c>
      <c r="AG12" s="1">
        <v>0.794431316593959</v>
      </c>
      <c r="AH12" s="1">
        <v>0.781505635970765</v>
      </c>
      <c r="AI12" s="1">
        <v>0.814715722456014</v>
      </c>
      <c r="AJ12" s="1">
        <v>0.816831053870582</v>
      </c>
      <c r="AK12" s="1">
        <v>0.806651493782575</v>
      </c>
      <c r="AL12" s="1">
        <v>0.816363550540531</v>
      </c>
      <c r="AM12" s="1">
        <v>0.266775497654154</v>
      </c>
      <c r="AN12" s="1">
        <v>0.649359799856238</v>
      </c>
      <c r="AO12" s="1">
        <v>11</v>
      </c>
    </row>
    <row r="13" s="1" customFormat="1" spans="1:41">
      <c r="A13" s="1" t="s">
        <v>69</v>
      </c>
      <c r="B13" s="1" t="s">
        <v>78</v>
      </c>
      <c r="C13" s="1">
        <v>1433.798943</v>
      </c>
      <c r="D13" s="1" t="s">
        <v>79</v>
      </c>
      <c r="E13" s="1" t="s">
        <v>80</v>
      </c>
      <c r="F13" s="1" t="s">
        <v>44</v>
      </c>
      <c r="G13" s="1" t="s">
        <v>45</v>
      </c>
      <c r="H13" s="1">
        <v>8</v>
      </c>
      <c r="I13" s="1">
        <v>64</v>
      </c>
      <c r="J13" s="1">
        <v>62</v>
      </c>
      <c r="K13" s="1">
        <v>96.875</v>
      </c>
      <c r="L13" s="1">
        <v>50</v>
      </c>
      <c r="M13" s="1">
        <v>78.125</v>
      </c>
      <c r="N13" s="1">
        <v>50</v>
      </c>
      <c r="O13" s="1">
        <v>78.125</v>
      </c>
      <c r="P13" s="1">
        <v>-4.76826</v>
      </c>
      <c r="Q13" s="1">
        <f t="shared" si="0"/>
        <v>-238.413</v>
      </c>
      <c r="R13" s="1">
        <v>-4.807</v>
      </c>
      <c r="S13" s="1">
        <v>-5.936</v>
      </c>
      <c r="T13" s="1">
        <v>-3.59</v>
      </c>
      <c r="U13" s="1">
        <v>-3.2188</v>
      </c>
      <c r="V13" s="1">
        <v>-3.2695</v>
      </c>
      <c r="W13" s="1">
        <v>-3.5342</v>
      </c>
      <c r="X13" s="1">
        <v>-3.5115</v>
      </c>
      <c r="Y13" s="1">
        <v>0.48504714802858</v>
      </c>
      <c r="Z13" s="1">
        <v>0.529655752469696</v>
      </c>
      <c r="AA13" s="1">
        <v>0.655806451612903</v>
      </c>
      <c r="AB13" s="1">
        <v>0.635</v>
      </c>
      <c r="AC13" s="1">
        <v>0.240024879255539</v>
      </c>
      <c r="AD13" s="1">
        <v>0.257826889526309</v>
      </c>
      <c r="AE13" s="1">
        <v>0.782271862533163</v>
      </c>
      <c r="AF13" s="1">
        <v>0.810531127364795</v>
      </c>
      <c r="AG13" s="1">
        <v>0.799913693293913</v>
      </c>
      <c r="AH13" s="1">
        <v>0.808831814519559</v>
      </c>
      <c r="AI13" s="1">
        <v>0.813124322753596</v>
      </c>
      <c r="AJ13" s="1">
        <v>0.799714551601003</v>
      </c>
      <c r="AK13" s="1">
        <v>0.793679488678704</v>
      </c>
      <c r="AL13" s="1">
        <v>0.819725180602917</v>
      </c>
      <c r="AM13" s="1">
        <v>0.507941769595598</v>
      </c>
      <c r="AN13" s="1">
        <v>0.69256230465576</v>
      </c>
      <c r="AO13" s="1">
        <v>14</v>
      </c>
    </row>
    <row r="14" s="1" customFormat="1" spans="1:41">
      <c r="A14" s="1" t="s">
        <v>69</v>
      </c>
      <c r="B14" s="1" t="s">
        <v>81</v>
      </c>
      <c r="C14" s="1">
        <v>6532.183505</v>
      </c>
      <c r="D14" s="1" t="s">
        <v>82</v>
      </c>
      <c r="E14" s="1" t="s">
        <v>83</v>
      </c>
      <c r="F14" s="1" t="s">
        <v>44</v>
      </c>
      <c r="G14" s="1" t="s">
        <v>45</v>
      </c>
      <c r="H14" s="1">
        <v>8</v>
      </c>
      <c r="I14" s="1">
        <v>64</v>
      </c>
      <c r="J14" s="1">
        <v>63</v>
      </c>
      <c r="K14" s="1">
        <v>98.4375</v>
      </c>
      <c r="L14" s="1">
        <v>50</v>
      </c>
      <c r="M14" s="1">
        <v>78.125</v>
      </c>
      <c r="N14" s="1">
        <v>50</v>
      </c>
      <c r="O14" s="1">
        <v>78.125</v>
      </c>
      <c r="P14" s="1">
        <v>-7.0132</v>
      </c>
      <c r="Q14" s="1">
        <f t="shared" si="0"/>
        <v>-350.66</v>
      </c>
      <c r="R14" s="1">
        <v>-7.0705</v>
      </c>
      <c r="S14" s="1">
        <v>-9.412</v>
      </c>
      <c r="T14" s="1">
        <v>-4.67</v>
      </c>
      <c r="U14" s="1">
        <v>-4.79474</v>
      </c>
      <c r="V14" s="1">
        <v>-4.6395</v>
      </c>
      <c r="W14" s="1">
        <v>-5.38966</v>
      </c>
      <c r="X14" s="1">
        <v>-5.203</v>
      </c>
      <c r="Y14" s="1">
        <v>0.432912523576409</v>
      </c>
      <c r="Z14" s="1">
        <v>0.453048127746632</v>
      </c>
      <c r="AA14" s="1">
        <v>0.592741935483871</v>
      </c>
      <c r="AB14" s="1">
        <v>0.6</v>
      </c>
      <c r="AC14" s="1">
        <v>0.216349231856796</v>
      </c>
      <c r="AD14" s="1">
        <v>0.208467472447949</v>
      </c>
      <c r="AE14" s="1">
        <v>0.751390346337483</v>
      </c>
      <c r="AF14" s="1">
        <v>0.800689210410083</v>
      </c>
      <c r="AG14" s="1">
        <v>0.765523002763926</v>
      </c>
      <c r="AH14" s="1">
        <v>0.796069484960135</v>
      </c>
      <c r="AI14" s="1">
        <v>0.819970382897694</v>
      </c>
      <c r="AJ14" s="1">
        <v>0.815039043969335</v>
      </c>
      <c r="AK14" s="1">
        <v>0.810837947540641</v>
      </c>
      <c r="AL14" s="1">
        <v>0.814843545857043</v>
      </c>
      <c r="AM14" s="1">
        <v>0.312159030150105</v>
      </c>
      <c r="AN14" s="1">
        <v>0.646405930075437</v>
      </c>
      <c r="AO14" s="1">
        <v>15</v>
      </c>
    </row>
    <row r="15" s="1" customFormat="1" spans="1:41">
      <c r="A15" s="1" t="s">
        <v>69</v>
      </c>
      <c r="B15" s="1" t="s">
        <v>84</v>
      </c>
      <c r="C15" s="1">
        <v>6644.786914</v>
      </c>
      <c r="D15" s="1" t="s">
        <v>85</v>
      </c>
      <c r="E15" s="1" t="s">
        <v>86</v>
      </c>
      <c r="F15" s="1" t="s">
        <v>44</v>
      </c>
      <c r="G15" s="1" t="s">
        <v>45</v>
      </c>
      <c r="H15" s="1">
        <v>8</v>
      </c>
      <c r="I15" s="1">
        <v>64</v>
      </c>
      <c r="J15" s="1">
        <v>61</v>
      </c>
      <c r="K15" s="1">
        <v>95.3125</v>
      </c>
      <c r="L15" s="1">
        <v>23</v>
      </c>
      <c r="M15" s="1">
        <v>35.9375</v>
      </c>
      <c r="N15" s="1">
        <v>23</v>
      </c>
      <c r="O15" s="1">
        <v>35.9375</v>
      </c>
      <c r="P15" s="1">
        <v>-8.02717391304348</v>
      </c>
      <c r="Q15" s="1">
        <f t="shared" si="0"/>
        <v>-184.625</v>
      </c>
      <c r="R15" s="1">
        <v>-7.976</v>
      </c>
      <c r="S15" s="1">
        <v>-10.419</v>
      </c>
      <c r="T15" s="1">
        <v>-5.311</v>
      </c>
      <c r="U15" s="1">
        <v>-6.29504347826087</v>
      </c>
      <c r="V15" s="1">
        <v>-6.156</v>
      </c>
      <c r="W15" s="1">
        <v>-6.50269565217391</v>
      </c>
      <c r="X15" s="1">
        <v>-6.446</v>
      </c>
      <c r="Y15" s="1">
        <v>0.208358838152644</v>
      </c>
      <c r="Z15" s="1">
        <v>0.17467700040469</v>
      </c>
      <c r="AA15" s="1">
        <v>0.558305084745763</v>
      </c>
      <c r="AB15" s="1">
        <v>0.55</v>
      </c>
      <c r="AC15" s="1">
        <v>0.193692591706662</v>
      </c>
      <c r="AD15" s="1">
        <v>0.17391560600446</v>
      </c>
      <c r="AE15" s="1">
        <v>0.753353344196593</v>
      </c>
      <c r="AF15" s="1">
        <v>0.797448201860918</v>
      </c>
      <c r="AG15" s="1" t="s">
        <v>46</v>
      </c>
      <c r="AH15" s="1">
        <v>0.787331702216243</v>
      </c>
      <c r="AI15" s="1">
        <v>0.80916678063375</v>
      </c>
      <c r="AJ15" s="1">
        <v>0.787729720882011</v>
      </c>
      <c r="AK15" s="1">
        <v>0.80615300830741</v>
      </c>
      <c r="AL15" s="1">
        <v>0.813487850904561</v>
      </c>
      <c r="AM15" s="1">
        <v>0.254408246870375</v>
      </c>
      <c r="AN15" s="1">
        <v>0.635964218439442</v>
      </c>
      <c r="AO15" s="1">
        <v>17</v>
      </c>
    </row>
    <row r="16" s="1" customFormat="1" spans="1:41">
      <c r="A16" s="1" t="s">
        <v>69</v>
      </c>
      <c r="B16" s="1" t="s">
        <v>87</v>
      </c>
      <c r="C16" s="1">
        <v>7128.402228</v>
      </c>
      <c r="D16" s="1" t="s">
        <v>88</v>
      </c>
      <c r="E16" s="1" t="s">
        <v>89</v>
      </c>
      <c r="F16" s="1" t="s">
        <v>44</v>
      </c>
      <c r="G16" s="1" t="s">
        <v>45</v>
      </c>
      <c r="H16" s="1">
        <v>8</v>
      </c>
      <c r="I16" s="1">
        <v>64</v>
      </c>
      <c r="J16" s="1">
        <v>64</v>
      </c>
      <c r="K16" s="1">
        <v>100</v>
      </c>
      <c r="L16" s="1">
        <v>33</v>
      </c>
      <c r="M16" s="1">
        <v>51.5625</v>
      </c>
      <c r="N16" s="1">
        <v>33</v>
      </c>
      <c r="O16" s="1">
        <v>51.5625</v>
      </c>
      <c r="P16" s="1">
        <v>-7.83393939393939</v>
      </c>
      <c r="Q16" s="1">
        <f t="shared" si="0"/>
        <v>-258.52</v>
      </c>
      <c r="R16" s="1">
        <v>-7.82</v>
      </c>
      <c r="S16" s="1">
        <v>-10.27</v>
      </c>
      <c r="T16" s="1">
        <v>-5.622</v>
      </c>
      <c r="U16" s="1">
        <v>-5.79012121212121</v>
      </c>
      <c r="V16" s="1">
        <v>-5.764</v>
      </c>
      <c r="W16" s="1">
        <v>-6.01009090909091</v>
      </c>
      <c r="X16" s="1">
        <v>-5.804</v>
      </c>
      <c r="Y16" s="1">
        <v>0.267320990124255</v>
      </c>
      <c r="Z16" s="1">
        <v>0.240291090012062</v>
      </c>
      <c r="AA16" s="1">
        <v>0.562741935483871</v>
      </c>
      <c r="AB16" s="1">
        <v>0.555</v>
      </c>
      <c r="AC16" s="1">
        <v>0.169809704117547</v>
      </c>
      <c r="AD16" s="1">
        <v>0.159574927901113</v>
      </c>
      <c r="AE16" s="1">
        <v>0.74709488237409</v>
      </c>
      <c r="AF16" s="1">
        <v>0.805950932988451</v>
      </c>
      <c r="AG16" s="1">
        <v>0.824164809058242</v>
      </c>
      <c r="AH16" s="1">
        <v>0.776774663591705</v>
      </c>
      <c r="AI16" s="1">
        <v>0.809962877950379</v>
      </c>
      <c r="AJ16" s="1">
        <v>0.763112154626264</v>
      </c>
      <c r="AK16" s="1">
        <v>0.814492433557352</v>
      </c>
      <c r="AL16" s="1">
        <v>0.817837001550034</v>
      </c>
      <c r="AM16" s="1">
        <v>0.301688053333221</v>
      </c>
      <c r="AN16" s="1">
        <v>0.636558809667745</v>
      </c>
      <c r="AO16" s="1">
        <v>2</v>
      </c>
    </row>
    <row r="17" s="1" customFormat="1" spans="1:41">
      <c r="A17" s="1" t="s">
        <v>69</v>
      </c>
      <c r="B17" s="1" t="s">
        <v>90</v>
      </c>
      <c r="C17" s="1">
        <v>6845.786167</v>
      </c>
      <c r="D17" s="1" t="s">
        <v>91</v>
      </c>
      <c r="E17" s="1" t="s">
        <v>92</v>
      </c>
      <c r="F17" s="1" t="s">
        <v>44</v>
      </c>
      <c r="G17" s="1" t="s">
        <v>45</v>
      </c>
      <c r="H17" s="1">
        <v>8</v>
      </c>
      <c r="I17" s="1">
        <v>64</v>
      </c>
      <c r="J17" s="1">
        <v>61</v>
      </c>
      <c r="K17" s="1">
        <v>95.3125</v>
      </c>
      <c r="L17" s="1">
        <v>51</v>
      </c>
      <c r="M17" s="1">
        <v>79.6875</v>
      </c>
      <c r="N17" s="1">
        <v>51</v>
      </c>
      <c r="O17" s="1">
        <v>79.6875</v>
      </c>
      <c r="P17" s="1">
        <v>-7.05139215686275</v>
      </c>
      <c r="Q17" s="1">
        <f t="shared" si="0"/>
        <v>-359.621</v>
      </c>
      <c r="R17" s="1">
        <v>-6.834</v>
      </c>
      <c r="S17" s="1">
        <v>-9.965</v>
      </c>
      <c r="T17" s="1">
        <v>-5.497</v>
      </c>
      <c r="U17" s="1">
        <v>-2.60366666666667</v>
      </c>
      <c r="V17" s="1">
        <v>-2.453</v>
      </c>
      <c r="W17" s="1">
        <v>-3.30692156862745</v>
      </c>
      <c r="X17" s="1">
        <v>-3.122</v>
      </c>
      <c r="Y17" s="1">
        <v>0.452707938122348</v>
      </c>
      <c r="Z17" s="1">
        <v>0.450905460021134</v>
      </c>
      <c r="AA17" s="1">
        <v>0.599830508474576</v>
      </c>
      <c r="AB17" s="1">
        <v>0.58</v>
      </c>
      <c r="AC17" s="1">
        <v>0.23854975701419</v>
      </c>
      <c r="AD17" s="1">
        <v>0.24190614713048</v>
      </c>
      <c r="AE17" s="1">
        <v>0.735822801609544</v>
      </c>
      <c r="AF17" s="1">
        <v>0.796853982928234</v>
      </c>
      <c r="AG17" s="1">
        <v>0.788732793073434</v>
      </c>
      <c r="AH17" s="1">
        <v>0.800763783593368</v>
      </c>
      <c r="AI17" s="1">
        <v>0.824683487653198</v>
      </c>
      <c r="AJ17" s="1">
        <v>0.832433747773623</v>
      </c>
      <c r="AK17" s="1">
        <v>0.80671675805633</v>
      </c>
      <c r="AL17" s="1">
        <v>0.821710377977476</v>
      </c>
      <c r="AM17" s="1">
        <v>0.298376360688745</v>
      </c>
      <c r="AN17" s="1">
        <v>0.603821264936353</v>
      </c>
      <c r="AO17" s="1">
        <v>20</v>
      </c>
    </row>
    <row r="18" s="1" customFormat="1" spans="1:41">
      <c r="A18" s="1" t="s">
        <v>69</v>
      </c>
      <c r="B18" s="1" t="s">
        <v>93</v>
      </c>
      <c r="C18" s="1">
        <v>6940.302204</v>
      </c>
      <c r="D18" s="1" t="s">
        <v>94</v>
      </c>
      <c r="E18" s="1" t="s">
        <v>95</v>
      </c>
      <c r="F18" s="1" t="s">
        <v>44</v>
      </c>
      <c r="G18" s="1" t="s">
        <v>45</v>
      </c>
      <c r="H18" s="1">
        <v>8</v>
      </c>
      <c r="I18" s="1">
        <v>64</v>
      </c>
      <c r="J18" s="1">
        <v>63</v>
      </c>
      <c r="K18" s="1">
        <v>98.4375</v>
      </c>
      <c r="L18" s="1">
        <v>48</v>
      </c>
      <c r="M18" s="1">
        <v>75</v>
      </c>
      <c r="N18" s="1">
        <v>48</v>
      </c>
      <c r="O18" s="1">
        <v>75</v>
      </c>
      <c r="P18" s="1">
        <v>-8.89172916666667</v>
      </c>
      <c r="Q18" s="1">
        <f t="shared" si="0"/>
        <v>-426.803</v>
      </c>
      <c r="R18" s="1">
        <v>-8.853</v>
      </c>
      <c r="S18" s="1">
        <v>-13.29</v>
      </c>
      <c r="T18" s="1">
        <v>-5.557</v>
      </c>
      <c r="U18" s="1">
        <v>-6.256625</v>
      </c>
      <c r="V18" s="1">
        <v>-6.637</v>
      </c>
      <c r="W18" s="1">
        <v>-6.6028125</v>
      </c>
      <c r="X18" s="1">
        <v>-6.856</v>
      </c>
      <c r="Y18" s="1">
        <v>0.310444273417355</v>
      </c>
      <c r="Z18" s="1">
        <v>0.30406301942871</v>
      </c>
      <c r="AA18" s="1">
        <v>0.636393442622951</v>
      </c>
      <c r="AB18" s="1">
        <v>0.62</v>
      </c>
      <c r="AC18" s="1">
        <v>0.243354097661769</v>
      </c>
      <c r="AD18" s="1">
        <v>0.247453511580685</v>
      </c>
      <c r="AE18" s="1">
        <v>0.73273960303808</v>
      </c>
      <c r="AF18" s="1">
        <v>0.798554135284042</v>
      </c>
      <c r="AG18" s="1">
        <v>0.795424771838992</v>
      </c>
      <c r="AH18" s="1">
        <v>0.797239625461015</v>
      </c>
      <c r="AI18" s="1">
        <v>0.82470345211979</v>
      </c>
      <c r="AJ18" s="1">
        <v>0.809161565748842</v>
      </c>
      <c r="AK18" s="1">
        <v>0.815138667471753</v>
      </c>
      <c r="AL18" s="1">
        <v>0.820309446398532</v>
      </c>
      <c r="AM18" s="1">
        <v>0.31701063092625</v>
      </c>
      <c r="AN18" s="1">
        <v>0.606823679812337</v>
      </c>
      <c r="AO18" s="1">
        <v>21</v>
      </c>
    </row>
    <row r="19" s="1" customFormat="1" spans="1:41">
      <c r="A19" s="1" t="s">
        <v>69</v>
      </c>
      <c r="B19" s="1" t="s">
        <v>96</v>
      </c>
      <c r="C19" s="1">
        <v>6318.977392</v>
      </c>
      <c r="D19" s="1" t="s">
        <v>97</v>
      </c>
      <c r="E19" s="1" t="s">
        <v>98</v>
      </c>
      <c r="F19" s="1" t="s">
        <v>44</v>
      </c>
      <c r="G19" s="1" t="s">
        <v>45</v>
      </c>
      <c r="H19" s="1">
        <v>8</v>
      </c>
      <c r="I19" s="1">
        <v>64</v>
      </c>
      <c r="J19" s="1">
        <v>64</v>
      </c>
      <c r="K19" s="1">
        <v>100</v>
      </c>
      <c r="L19" s="1">
        <v>46</v>
      </c>
      <c r="M19" s="1">
        <v>71.875</v>
      </c>
      <c r="N19" s="1">
        <v>46</v>
      </c>
      <c r="O19" s="1">
        <v>71.875</v>
      </c>
      <c r="P19" s="1">
        <v>-6.65132608695652</v>
      </c>
      <c r="Q19" s="1">
        <f t="shared" si="0"/>
        <v>-305.961</v>
      </c>
      <c r="R19" s="1">
        <v>-6.596</v>
      </c>
      <c r="S19" s="1">
        <v>-7.888</v>
      </c>
      <c r="T19" s="1">
        <v>-5.777</v>
      </c>
      <c r="U19" s="1">
        <v>-4.56610869565217</v>
      </c>
      <c r="V19" s="1">
        <v>-4.549</v>
      </c>
      <c r="W19" s="1">
        <v>-4.88654347826087</v>
      </c>
      <c r="X19" s="1">
        <v>-4.871</v>
      </c>
      <c r="Y19" s="1">
        <v>0.370383112834029</v>
      </c>
      <c r="Z19" s="1">
        <v>0.377973092493414</v>
      </c>
      <c r="AA19" s="1">
        <v>0.675396825396825</v>
      </c>
      <c r="AB19" s="1">
        <v>0.67</v>
      </c>
      <c r="AC19" s="1">
        <v>0.240383109887755</v>
      </c>
      <c r="AD19" s="1">
        <v>0.244999682470881</v>
      </c>
      <c r="AE19" s="1">
        <v>0.761195876577494</v>
      </c>
      <c r="AF19" s="1">
        <v>0.814304731150931</v>
      </c>
      <c r="AG19" s="1" t="s">
        <v>46</v>
      </c>
      <c r="AH19" s="1">
        <v>0.831963055871617</v>
      </c>
      <c r="AI19" s="1">
        <v>0.828711323366241</v>
      </c>
      <c r="AJ19" s="1" t="s">
        <v>46</v>
      </c>
      <c r="AK19" s="1">
        <v>0.804929160649852</v>
      </c>
      <c r="AL19" s="1">
        <v>0.805258768766416</v>
      </c>
      <c r="AM19" s="1">
        <v>0.392516094761906</v>
      </c>
      <c r="AN19" s="1">
        <v>0.663458065552819</v>
      </c>
      <c r="AO19" s="1">
        <v>23</v>
      </c>
    </row>
    <row r="20" s="1" customFormat="1" spans="1:41">
      <c r="A20" s="1" t="s">
        <v>69</v>
      </c>
      <c r="B20" s="1" t="s">
        <v>99</v>
      </c>
      <c r="C20" s="1">
        <v>6760.026563</v>
      </c>
      <c r="D20" s="1" t="s">
        <v>100</v>
      </c>
      <c r="E20" s="1" t="s">
        <v>101</v>
      </c>
      <c r="F20" s="1" t="s">
        <v>44</v>
      </c>
      <c r="G20" s="1" t="s">
        <v>45</v>
      </c>
      <c r="H20" s="1">
        <v>8</v>
      </c>
      <c r="I20" s="1">
        <v>64</v>
      </c>
      <c r="J20" s="1">
        <v>64</v>
      </c>
      <c r="K20" s="1">
        <v>100</v>
      </c>
      <c r="L20" s="1">
        <v>30</v>
      </c>
      <c r="M20" s="1">
        <v>46.875</v>
      </c>
      <c r="N20" s="1">
        <v>30</v>
      </c>
      <c r="O20" s="1">
        <v>46.875</v>
      </c>
      <c r="P20" s="1">
        <v>-9.27263333333334</v>
      </c>
      <c r="Q20" s="1">
        <f t="shared" si="0"/>
        <v>-278.179</v>
      </c>
      <c r="R20" s="1">
        <v>-9.1495</v>
      </c>
      <c r="S20" s="1">
        <v>-14.201</v>
      </c>
      <c r="T20" s="1">
        <v>-7.493</v>
      </c>
      <c r="U20" s="1">
        <v>-7.35456666666667</v>
      </c>
      <c r="V20" s="1">
        <v>-7.0615</v>
      </c>
      <c r="W20" s="1">
        <v>-7.31443333333334</v>
      </c>
      <c r="X20" s="1">
        <v>-7.1735</v>
      </c>
      <c r="Y20" s="1">
        <v>0.242125784955963</v>
      </c>
      <c r="Z20" s="1">
        <v>0.223511349907412</v>
      </c>
      <c r="AA20" s="1">
        <v>0.594193548387097</v>
      </c>
      <c r="AB20" s="1">
        <v>0.585</v>
      </c>
      <c r="AC20" s="1">
        <v>0.240426070674589</v>
      </c>
      <c r="AD20" s="1">
        <v>0.242619903951861</v>
      </c>
      <c r="AE20" s="1">
        <v>0.734631642296643</v>
      </c>
      <c r="AF20" s="1">
        <v>0.797463520296969</v>
      </c>
      <c r="AG20" s="1">
        <v>0.776513132877508</v>
      </c>
      <c r="AH20" s="1">
        <v>0.788534547966923</v>
      </c>
      <c r="AI20" s="1">
        <v>0.814963205032478</v>
      </c>
      <c r="AJ20" s="1">
        <v>0.761136724923717</v>
      </c>
      <c r="AK20" s="1">
        <v>0.799413961768586</v>
      </c>
      <c r="AL20" s="1">
        <v>0.813642861789052</v>
      </c>
      <c r="AM20" s="1">
        <v>0.239369177718559</v>
      </c>
      <c r="AN20" s="1">
        <v>0.601180747886415</v>
      </c>
      <c r="AO20" s="1">
        <v>24</v>
      </c>
    </row>
    <row r="21" s="1" customFormat="1" spans="1:41">
      <c r="A21" s="1" t="s">
        <v>69</v>
      </c>
      <c r="B21" s="1" t="s">
        <v>102</v>
      </c>
      <c r="C21" s="1">
        <v>1436.88282</v>
      </c>
      <c r="D21" s="1" t="s">
        <v>103</v>
      </c>
      <c r="E21" s="1" t="s">
        <v>104</v>
      </c>
      <c r="F21" s="1" t="s">
        <v>44</v>
      </c>
      <c r="G21" s="1" t="s">
        <v>45</v>
      </c>
      <c r="H21" s="1">
        <v>8</v>
      </c>
      <c r="I21" s="1">
        <v>64</v>
      </c>
      <c r="J21" s="1">
        <v>64</v>
      </c>
      <c r="K21" s="1">
        <v>100</v>
      </c>
      <c r="L21" s="1">
        <v>33</v>
      </c>
      <c r="M21" s="1">
        <v>51.5625</v>
      </c>
      <c r="N21" s="1">
        <v>33</v>
      </c>
      <c r="O21" s="1">
        <v>51.5625</v>
      </c>
      <c r="P21" s="1">
        <v>-6.01069696969697</v>
      </c>
      <c r="Q21" s="1">
        <f t="shared" si="0"/>
        <v>-198.353</v>
      </c>
      <c r="R21" s="1">
        <v>-6.058</v>
      </c>
      <c r="S21" s="1">
        <v>-7.274</v>
      </c>
      <c r="T21" s="1">
        <v>-4.8</v>
      </c>
      <c r="U21" s="1">
        <v>-3.66257575757576</v>
      </c>
      <c r="V21" s="1">
        <v>-3.658</v>
      </c>
      <c r="W21" s="1">
        <v>-4.25660606060606</v>
      </c>
      <c r="X21" s="1">
        <v>-4.272</v>
      </c>
      <c r="Y21" s="1">
        <v>0.463471863258</v>
      </c>
      <c r="Z21" s="1">
        <v>0.496244797980972</v>
      </c>
      <c r="AA21" s="1">
        <v>0.66890625</v>
      </c>
      <c r="AB21" s="1">
        <v>0.665</v>
      </c>
      <c r="AC21" s="1">
        <v>0.242940004356658</v>
      </c>
      <c r="AD21" s="1">
        <v>0.244956931688368</v>
      </c>
      <c r="AE21" s="1">
        <v>0.773106579743617</v>
      </c>
      <c r="AF21" s="1">
        <v>0.808698453622071</v>
      </c>
      <c r="AG21" s="1">
        <v>0.813103032830424</v>
      </c>
      <c r="AH21" s="1">
        <v>0.812380975253089</v>
      </c>
      <c r="AI21" s="1" t="s">
        <v>46</v>
      </c>
      <c r="AJ21" s="1" t="s">
        <v>46</v>
      </c>
      <c r="AK21" s="1">
        <v>0.809176822535345</v>
      </c>
      <c r="AL21" s="1">
        <v>0.819889528318698</v>
      </c>
      <c r="AM21" s="1">
        <v>0.415479933985261</v>
      </c>
      <c r="AN21" s="1">
        <v>0.681969126277098</v>
      </c>
      <c r="AO21" s="1">
        <v>5</v>
      </c>
    </row>
    <row r="22" s="1" customFormat="1" spans="1:41">
      <c r="A22" s="1" t="s">
        <v>69</v>
      </c>
      <c r="B22" s="1" t="s">
        <v>105</v>
      </c>
      <c r="C22" s="1">
        <v>7038.627777</v>
      </c>
      <c r="D22" s="1" t="s">
        <v>106</v>
      </c>
      <c r="E22" s="1" t="s">
        <v>107</v>
      </c>
      <c r="F22" s="1" t="s">
        <v>44</v>
      </c>
      <c r="G22" s="1" t="s">
        <v>45</v>
      </c>
      <c r="H22" s="1">
        <v>8</v>
      </c>
      <c r="I22" s="1">
        <v>64</v>
      </c>
      <c r="J22" s="1">
        <v>64</v>
      </c>
      <c r="K22" s="1">
        <v>100</v>
      </c>
      <c r="L22" s="1">
        <v>47</v>
      </c>
      <c r="M22" s="1">
        <v>73.4375</v>
      </c>
      <c r="N22" s="1">
        <v>47</v>
      </c>
      <c r="O22" s="1">
        <v>73.4375</v>
      </c>
      <c r="P22" s="1">
        <v>-8.09840425531915</v>
      </c>
      <c r="Q22" s="1">
        <f t="shared" si="0"/>
        <v>-380.625</v>
      </c>
      <c r="R22" s="1">
        <v>-8.083</v>
      </c>
      <c r="S22" s="1">
        <v>-11.384</v>
      </c>
      <c r="T22" s="1">
        <v>-5.563</v>
      </c>
      <c r="U22" s="1">
        <v>-4.52525531914894</v>
      </c>
      <c r="V22" s="1">
        <v>-5.681</v>
      </c>
      <c r="W22" s="1">
        <v>-6.22108510638298</v>
      </c>
      <c r="X22" s="1">
        <v>-6.451</v>
      </c>
      <c r="Y22" s="1">
        <v>0.334014119390763</v>
      </c>
      <c r="Z22" s="1">
        <v>0.354105329782434</v>
      </c>
      <c r="AA22" s="1">
        <v>0.634677419354839</v>
      </c>
      <c r="AB22" s="1">
        <v>0.645</v>
      </c>
      <c r="AC22" s="1">
        <v>0.184438248345509</v>
      </c>
      <c r="AD22" s="1">
        <v>0.169582732214614</v>
      </c>
      <c r="AE22" s="1">
        <v>0.742762771194474</v>
      </c>
      <c r="AF22" s="1">
        <v>0.800102620750233</v>
      </c>
      <c r="AG22" s="1">
        <v>0.750081305881138</v>
      </c>
      <c r="AH22" s="1">
        <v>0.794275903984806</v>
      </c>
      <c r="AI22" s="1">
        <v>0.810585165598675</v>
      </c>
      <c r="AJ22" s="1">
        <v>0.798175149302363</v>
      </c>
      <c r="AK22" s="1">
        <v>0.804030667947234</v>
      </c>
      <c r="AL22" s="1">
        <v>0.802335925256845</v>
      </c>
      <c r="AM22" s="1">
        <v>0.314191762252726</v>
      </c>
      <c r="AN22" s="1">
        <v>0.639043452722369</v>
      </c>
      <c r="AO22" s="1">
        <v>6</v>
      </c>
    </row>
    <row r="23" s="1" customFormat="1" spans="1:41">
      <c r="A23" s="1" t="s">
        <v>69</v>
      </c>
      <c r="B23" s="1" t="s">
        <v>108</v>
      </c>
      <c r="C23" s="1">
        <v>6710.290536</v>
      </c>
      <c r="D23" s="1" t="s">
        <v>109</v>
      </c>
      <c r="E23" s="1" t="s">
        <v>110</v>
      </c>
      <c r="F23" s="1" t="s">
        <v>44</v>
      </c>
      <c r="G23" s="1" t="s">
        <v>45</v>
      </c>
      <c r="H23" s="1">
        <v>8</v>
      </c>
      <c r="I23" s="1">
        <v>64</v>
      </c>
      <c r="J23" s="1">
        <v>64</v>
      </c>
      <c r="K23" s="1">
        <v>100</v>
      </c>
      <c r="L23" s="1">
        <v>55</v>
      </c>
      <c r="M23" s="1">
        <v>85.9375</v>
      </c>
      <c r="N23" s="1">
        <v>55</v>
      </c>
      <c r="O23" s="1">
        <v>85.9375</v>
      </c>
      <c r="P23" s="1">
        <v>-7.62229090909091</v>
      </c>
      <c r="Q23" s="1">
        <f t="shared" si="0"/>
        <v>-419.226</v>
      </c>
      <c r="R23" s="1">
        <v>-7.428</v>
      </c>
      <c r="S23" s="1">
        <v>-14.19</v>
      </c>
      <c r="T23" s="1">
        <v>-4.988</v>
      </c>
      <c r="U23" s="1">
        <v>-6.22210909090909</v>
      </c>
      <c r="V23" s="1">
        <v>-6.092</v>
      </c>
      <c r="W23" s="1">
        <v>-6.43750909090909</v>
      </c>
      <c r="X23" s="1">
        <v>-6.18</v>
      </c>
      <c r="Y23" s="1">
        <v>0.411544960675876</v>
      </c>
      <c r="Z23" s="1">
        <v>0.43912377796465</v>
      </c>
      <c r="AA23" s="1">
        <v>0.689838709677419</v>
      </c>
      <c r="AB23" s="1">
        <v>0.685</v>
      </c>
      <c r="AC23" s="1">
        <v>0.250368066557712</v>
      </c>
      <c r="AD23" s="1">
        <v>0.251968618193203</v>
      </c>
      <c r="AE23" s="1">
        <v>0.758885665594245</v>
      </c>
      <c r="AF23" s="1">
        <v>0.796347150333619</v>
      </c>
      <c r="AG23" s="1">
        <v>0.811094800537821</v>
      </c>
      <c r="AH23" s="1">
        <v>0.799232455397645</v>
      </c>
      <c r="AI23" s="1">
        <v>0.821958560757764</v>
      </c>
      <c r="AJ23" s="1">
        <v>0.814098888175334</v>
      </c>
      <c r="AK23" s="1">
        <v>0.804024701990484</v>
      </c>
      <c r="AL23" s="1">
        <v>0.815588698705367</v>
      </c>
      <c r="AM23" s="1">
        <v>0.38317688938825</v>
      </c>
      <c r="AN23" s="1">
        <v>0.639824767663365</v>
      </c>
      <c r="AO23" s="1">
        <v>8</v>
      </c>
    </row>
    <row r="24" s="1" customFormat="1" spans="1:41">
      <c r="A24" s="1" t="s">
        <v>111</v>
      </c>
      <c r="B24" s="1" t="s">
        <v>112</v>
      </c>
      <c r="C24" s="1">
        <v>6147.007973</v>
      </c>
      <c r="D24" s="1" t="s">
        <v>113</v>
      </c>
      <c r="E24" s="1" t="s">
        <v>114</v>
      </c>
      <c r="F24" s="1" t="s">
        <v>44</v>
      </c>
      <c r="G24" s="1" t="s">
        <v>45</v>
      </c>
      <c r="H24" s="1">
        <v>8</v>
      </c>
      <c r="I24" s="1">
        <v>64</v>
      </c>
      <c r="J24" s="1">
        <v>64</v>
      </c>
      <c r="K24" s="1">
        <v>100</v>
      </c>
      <c r="L24" s="1">
        <v>52</v>
      </c>
      <c r="M24" s="1">
        <v>81.25</v>
      </c>
      <c r="N24" s="1">
        <v>52</v>
      </c>
      <c r="O24" s="1">
        <v>81.25</v>
      </c>
      <c r="P24" s="1">
        <v>-6.48682692307692</v>
      </c>
      <c r="Q24" s="1">
        <f t="shared" si="0"/>
        <v>-337.315</v>
      </c>
      <c r="R24" s="1">
        <v>-6.021</v>
      </c>
      <c r="S24" s="1">
        <v>-9.829</v>
      </c>
      <c r="T24" s="1">
        <v>-4.53</v>
      </c>
      <c r="U24" s="1">
        <v>-4.93490384615385</v>
      </c>
      <c r="V24" s="1">
        <v>-4.73</v>
      </c>
      <c r="W24" s="1">
        <v>-5.24821153846154</v>
      </c>
      <c r="X24" s="1">
        <v>-4.9255</v>
      </c>
      <c r="Y24" s="1">
        <v>0.374253974828986</v>
      </c>
      <c r="Z24" s="1">
        <v>0.388717593117359</v>
      </c>
      <c r="AA24" s="1">
        <v>0.639206349206349</v>
      </c>
      <c r="AB24" s="1">
        <v>0.63</v>
      </c>
      <c r="AC24" s="1">
        <v>0.221530173252252</v>
      </c>
      <c r="AD24" s="1">
        <v>0.210203202834322</v>
      </c>
      <c r="AE24" s="1">
        <v>0.766045143078417</v>
      </c>
      <c r="AF24" s="1">
        <v>0.809024310284679</v>
      </c>
      <c r="AG24" s="1">
        <v>0.81349006750389</v>
      </c>
      <c r="AH24" s="1">
        <v>0.791986134794127</v>
      </c>
      <c r="AI24" s="1">
        <v>0.815608655285879</v>
      </c>
      <c r="AJ24" s="1">
        <v>0.811881061881934</v>
      </c>
      <c r="AK24" s="1">
        <v>0.817950968402767</v>
      </c>
      <c r="AL24" s="1">
        <v>0.816622560576021</v>
      </c>
      <c r="AM24" s="1">
        <v>0.386562600705378</v>
      </c>
      <c r="AN24" s="1">
        <v>0.661498170586798</v>
      </c>
      <c r="AO24" s="1">
        <v>25</v>
      </c>
    </row>
    <row r="25" s="1" customFormat="1" spans="1:41">
      <c r="A25" s="1" t="s">
        <v>115</v>
      </c>
      <c r="B25" s="1" t="s">
        <v>116</v>
      </c>
      <c r="C25" s="1">
        <v>6786.03776</v>
      </c>
      <c r="D25" s="1" t="s">
        <v>117</v>
      </c>
      <c r="E25" s="1" t="s">
        <v>118</v>
      </c>
      <c r="F25" s="1" t="s">
        <v>44</v>
      </c>
      <c r="G25" s="1" t="s">
        <v>45</v>
      </c>
      <c r="H25" s="1">
        <v>8</v>
      </c>
      <c r="I25" s="1">
        <v>64</v>
      </c>
      <c r="J25" s="1">
        <v>57</v>
      </c>
      <c r="K25" s="1">
        <v>89.0625</v>
      </c>
      <c r="L25" s="1">
        <v>43</v>
      </c>
      <c r="M25" s="1">
        <v>67.1875</v>
      </c>
      <c r="N25" s="1">
        <v>43</v>
      </c>
      <c r="O25" s="1">
        <v>67.1875</v>
      </c>
      <c r="P25" s="1">
        <v>-9.05986046511628</v>
      </c>
      <c r="Q25" s="1">
        <f t="shared" si="0"/>
        <v>-389.574</v>
      </c>
      <c r="R25" s="1">
        <v>-9.044</v>
      </c>
      <c r="S25" s="1">
        <v>-12.968</v>
      </c>
      <c r="T25" s="1">
        <v>-7.036</v>
      </c>
      <c r="U25" s="1">
        <v>-5.16574418604651</v>
      </c>
      <c r="V25" s="1">
        <v>-6.937</v>
      </c>
      <c r="W25" s="1">
        <v>-6.0633488372093</v>
      </c>
      <c r="X25" s="1">
        <v>-6.97</v>
      </c>
      <c r="Y25" s="1">
        <v>0.186259234976152</v>
      </c>
      <c r="Z25" s="1">
        <v>0.152380323800925</v>
      </c>
      <c r="AA25" s="1">
        <v>0.505</v>
      </c>
      <c r="AB25" s="1">
        <v>0.505</v>
      </c>
      <c r="AC25" s="1">
        <v>0.165977283486612</v>
      </c>
      <c r="AD25" s="1">
        <v>0.162823548676611</v>
      </c>
      <c r="AE25" s="1">
        <v>0.755408567409102</v>
      </c>
      <c r="AF25" s="1">
        <v>0.80611406764468</v>
      </c>
      <c r="AG25" s="1">
        <v>0.812785269431665</v>
      </c>
      <c r="AH25" s="1">
        <v>0.778845310884155</v>
      </c>
      <c r="AI25" s="1">
        <v>0.806629691599341</v>
      </c>
      <c r="AJ25" s="1">
        <v>0.803063215292928</v>
      </c>
      <c r="AK25" s="1">
        <v>0.809678145216508</v>
      </c>
      <c r="AL25" s="1">
        <v>0.810807880527422</v>
      </c>
      <c r="AM25" s="1">
        <v>0.262692997709919</v>
      </c>
      <c r="AN25" s="1">
        <v>0.636881335309293</v>
      </c>
      <c r="AO25" s="1">
        <v>26</v>
      </c>
    </row>
    <row r="26" s="1" customFormat="1" spans="1:41">
      <c r="A26" s="1" t="s">
        <v>115</v>
      </c>
      <c r="B26" s="1" t="s">
        <v>119</v>
      </c>
      <c r="C26" s="1">
        <v>6435.588592</v>
      </c>
      <c r="D26" s="1" t="s">
        <v>120</v>
      </c>
      <c r="E26" s="1" t="s">
        <v>121</v>
      </c>
      <c r="F26" s="1" t="s">
        <v>44</v>
      </c>
      <c r="G26" s="1" t="s">
        <v>45</v>
      </c>
      <c r="H26" s="1">
        <v>8</v>
      </c>
      <c r="I26" s="1">
        <v>64</v>
      </c>
      <c r="J26" s="1">
        <v>64</v>
      </c>
      <c r="K26" s="1">
        <v>100</v>
      </c>
      <c r="L26" s="1">
        <v>42</v>
      </c>
      <c r="M26" s="1">
        <v>65.625</v>
      </c>
      <c r="N26" s="1">
        <v>42</v>
      </c>
      <c r="O26" s="1">
        <v>65.625</v>
      </c>
      <c r="P26" s="1">
        <v>-9.56976190476191</v>
      </c>
      <c r="Q26" s="1">
        <f t="shared" si="0"/>
        <v>-401.93</v>
      </c>
      <c r="R26" s="1">
        <v>-9.633</v>
      </c>
      <c r="S26" s="1">
        <v>-13.273</v>
      </c>
      <c r="T26" s="1">
        <v>-6.71</v>
      </c>
      <c r="U26" s="1">
        <v>-7.94709523809524</v>
      </c>
      <c r="V26" s="1">
        <v>-7.9675</v>
      </c>
      <c r="W26" s="1">
        <v>-8.3205</v>
      </c>
      <c r="X26" s="1">
        <v>-8.2845</v>
      </c>
      <c r="Y26" s="1">
        <v>0.267230324668426</v>
      </c>
      <c r="Z26" s="1">
        <v>0.247499214444322</v>
      </c>
      <c r="AA26" s="1">
        <v>0.581746031746032</v>
      </c>
      <c r="AB26" s="1">
        <v>0.57</v>
      </c>
      <c r="AC26" s="1">
        <v>0.159860601719634</v>
      </c>
      <c r="AD26" s="1">
        <v>0.150319968323813</v>
      </c>
      <c r="AE26" s="1">
        <v>0.71877295369081</v>
      </c>
      <c r="AF26" s="1">
        <v>0.797088516515873</v>
      </c>
      <c r="AG26" s="1">
        <v>0.807847248503617</v>
      </c>
      <c r="AH26" s="1">
        <v>0.788031260960264</v>
      </c>
      <c r="AI26" s="1">
        <v>0.809323103728833</v>
      </c>
      <c r="AJ26" s="1">
        <v>0.799787308443774</v>
      </c>
      <c r="AK26" s="1">
        <v>0.807347193033881</v>
      </c>
      <c r="AL26" s="1">
        <v>0.821127399597486</v>
      </c>
      <c r="AM26" s="1">
        <v>0.269793945951059</v>
      </c>
      <c r="AN26" s="1">
        <v>0.593184126146148</v>
      </c>
      <c r="AO26" s="1">
        <v>27</v>
      </c>
    </row>
    <row r="27" s="1" customFormat="1" spans="1:41">
      <c r="A27" s="1" t="s">
        <v>122</v>
      </c>
      <c r="B27" s="1" t="s">
        <v>123</v>
      </c>
      <c r="C27" s="1">
        <v>687.650259</v>
      </c>
      <c r="D27" s="1" t="s">
        <v>124</v>
      </c>
      <c r="E27" s="1" t="s">
        <v>125</v>
      </c>
      <c r="F27" s="1" t="s">
        <v>44</v>
      </c>
      <c r="G27" s="1" t="s">
        <v>45</v>
      </c>
      <c r="H27" s="1">
        <v>8</v>
      </c>
      <c r="I27" s="1">
        <v>64</v>
      </c>
      <c r="J27" s="1">
        <v>62</v>
      </c>
      <c r="K27" s="1">
        <v>96.875</v>
      </c>
      <c r="L27" s="1">
        <v>48</v>
      </c>
      <c r="M27" s="1">
        <v>75</v>
      </c>
      <c r="N27" s="1">
        <v>48</v>
      </c>
      <c r="O27" s="1">
        <v>75</v>
      </c>
      <c r="P27" s="1">
        <v>-6.27645833333333</v>
      </c>
      <c r="Q27" s="1">
        <f t="shared" si="0"/>
        <v>-301.27</v>
      </c>
      <c r="R27" s="1">
        <v>-6.3745</v>
      </c>
      <c r="S27" s="1">
        <v>-7.948</v>
      </c>
      <c r="T27" s="1">
        <v>-3.887</v>
      </c>
      <c r="U27" s="1">
        <v>-3.51225</v>
      </c>
      <c r="V27" s="1">
        <v>-3.624</v>
      </c>
      <c r="W27" s="1">
        <v>-3.89397916666667</v>
      </c>
      <c r="X27" s="1">
        <v>-4.014</v>
      </c>
      <c r="Y27" s="1">
        <v>0.483591909798044</v>
      </c>
      <c r="Z27" s="1">
        <v>0.477305263054295</v>
      </c>
      <c r="AA27" s="1">
        <v>0.601290322580645</v>
      </c>
      <c r="AB27" s="1">
        <v>0.57</v>
      </c>
      <c r="AC27" s="1">
        <v>0.242850876589143</v>
      </c>
      <c r="AD27" s="1">
        <v>0.249717035327264</v>
      </c>
      <c r="AE27" s="1">
        <v>0.735586073863602</v>
      </c>
      <c r="AF27" s="1">
        <v>0.797138386724592</v>
      </c>
      <c r="AG27" s="1">
        <v>0.763454193621143</v>
      </c>
      <c r="AH27" s="1">
        <v>0.801597564225879</v>
      </c>
      <c r="AI27" s="1">
        <v>0.83114357315717</v>
      </c>
      <c r="AJ27" s="1" t="s">
        <v>46</v>
      </c>
      <c r="AK27" s="1">
        <v>0.805921595843035</v>
      </c>
      <c r="AL27" s="1">
        <v>0.815324440633442</v>
      </c>
      <c r="AM27" s="1">
        <v>0.330067706684123</v>
      </c>
      <c r="AN27" s="1">
        <v>0.611736383506889</v>
      </c>
      <c r="AO27" s="1">
        <v>28</v>
      </c>
    </row>
    <row r="28" s="1" customFormat="1" spans="1:41">
      <c r="A28" s="1" t="s">
        <v>126</v>
      </c>
      <c r="B28" s="1" t="s">
        <v>127</v>
      </c>
      <c r="C28" s="1">
        <v>819.362095</v>
      </c>
      <c r="D28" s="1" t="s">
        <v>128</v>
      </c>
      <c r="E28" s="1" t="s">
        <v>129</v>
      </c>
      <c r="F28" s="1" t="s">
        <v>44</v>
      </c>
      <c r="G28" s="1" t="s">
        <v>45</v>
      </c>
      <c r="H28" s="1">
        <v>8</v>
      </c>
      <c r="I28" s="1">
        <v>64</v>
      </c>
      <c r="J28" s="1">
        <v>64</v>
      </c>
      <c r="K28" s="1">
        <v>100</v>
      </c>
      <c r="L28" s="1">
        <v>47</v>
      </c>
      <c r="M28" s="1">
        <v>73.4375</v>
      </c>
      <c r="N28" s="1">
        <v>47</v>
      </c>
      <c r="O28" s="1">
        <v>73.4375</v>
      </c>
      <c r="P28" s="1">
        <v>-7.09178723404255</v>
      </c>
      <c r="Q28" s="1">
        <f t="shared" si="0"/>
        <v>-333.314</v>
      </c>
      <c r="R28" s="1">
        <v>-6.981</v>
      </c>
      <c r="S28" s="1">
        <v>-9.652</v>
      </c>
      <c r="T28" s="1">
        <v>-4.891</v>
      </c>
      <c r="U28" s="1">
        <v>-3.97853191489362</v>
      </c>
      <c r="V28" s="1">
        <v>-4.035</v>
      </c>
      <c r="W28" s="1">
        <v>-4.66048936170213</v>
      </c>
      <c r="X28" s="1">
        <v>-4.723</v>
      </c>
      <c r="Y28" s="1">
        <v>0.386130977019266</v>
      </c>
      <c r="Z28" s="1">
        <v>0.377097195745288</v>
      </c>
      <c r="AA28" s="1">
        <v>0.63484375</v>
      </c>
      <c r="AB28" s="1">
        <v>0.62</v>
      </c>
      <c r="AC28" s="1">
        <v>0.196054611380588</v>
      </c>
      <c r="AD28" s="1">
        <v>0.175523847216607</v>
      </c>
      <c r="AE28" s="1">
        <v>0.753785679141397</v>
      </c>
      <c r="AF28" s="1">
        <v>0.802151574949443</v>
      </c>
      <c r="AG28" s="1">
        <v>0.77596610631433</v>
      </c>
      <c r="AH28" s="1">
        <v>0.799816636836082</v>
      </c>
      <c r="AI28" s="1">
        <v>0.821817081571827</v>
      </c>
      <c r="AJ28" s="1">
        <v>0.785474803011265</v>
      </c>
      <c r="AK28" s="1">
        <v>0.807300246528098</v>
      </c>
      <c r="AL28" s="1">
        <v>0.807021492935359</v>
      </c>
      <c r="AM28" s="1">
        <v>0.323480324287295</v>
      </c>
      <c r="AN28" s="1">
        <v>0.645884018103896</v>
      </c>
      <c r="AO28" s="1">
        <v>29</v>
      </c>
    </row>
    <row r="29" s="1" customFormat="1" spans="1:41">
      <c r="A29" s="1" t="s">
        <v>130</v>
      </c>
      <c r="B29" s="1" t="s">
        <v>131</v>
      </c>
      <c r="C29" s="1">
        <v>947.252504</v>
      </c>
      <c r="D29" s="1" t="s">
        <v>132</v>
      </c>
      <c r="E29" s="1" t="s">
        <v>133</v>
      </c>
      <c r="F29" s="1" t="s">
        <v>44</v>
      </c>
      <c r="G29" s="1" t="s">
        <v>45</v>
      </c>
      <c r="H29" s="1">
        <v>8</v>
      </c>
      <c r="I29" s="1">
        <v>64</v>
      </c>
      <c r="J29" s="1">
        <v>63</v>
      </c>
      <c r="K29" s="1">
        <v>98.4375</v>
      </c>
      <c r="L29" s="1">
        <v>56</v>
      </c>
      <c r="M29" s="1">
        <v>87.5</v>
      </c>
      <c r="N29" s="1">
        <v>56</v>
      </c>
      <c r="O29" s="1">
        <v>87.5</v>
      </c>
      <c r="P29" s="1">
        <v>-6.69442857142857</v>
      </c>
      <c r="Q29" s="1">
        <f t="shared" si="0"/>
        <v>-374.888</v>
      </c>
      <c r="R29" s="1">
        <v>-6.763</v>
      </c>
      <c r="S29" s="1">
        <v>-9.755</v>
      </c>
      <c r="T29" s="1">
        <v>-3.761</v>
      </c>
      <c r="U29" s="1">
        <v>-5.37564285714286</v>
      </c>
      <c r="V29" s="1">
        <v>-5.2695</v>
      </c>
      <c r="W29" s="1">
        <v>-5.68810714285714</v>
      </c>
      <c r="X29" s="1">
        <v>-5.5215</v>
      </c>
      <c r="Y29" s="1">
        <v>0.471376673081575</v>
      </c>
      <c r="Z29" s="1">
        <v>0.486648484219027</v>
      </c>
      <c r="AA29" s="1">
        <v>0.639047619047619</v>
      </c>
      <c r="AB29" s="1">
        <v>0.62</v>
      </c>
      <c r="AC29" s="1">
        <v>0.176067090759987</v>
      </c>
      <c r="AD29" s="1">
        <v>0.16307126808713</v>
      </c>
      <c r="AE29" s="1">
        <v>0.752577506417387</v>
      </c>
      <c r="AF29" s="1">
        <v>0.812640140551248</v>
      </c>
      <c r="AG29" s="1">
        <v>0.762152404151712</v>
      </c>
      <c r="AH29" s="1">
        <v>0.789858857570369</v>
      </c>
      <c r="AI29" s="1">
        <v>0.822552738010217</v>
      </c>
      <c r="AJ29" s="1">
        <v>0.778154814133082</v>
      </c>
      <c r="AK29" s="1">
        <v>0.809434545085487</v>
      </c>
      <c r="AL29" s="1">
        <v>0.803839250839271</v>
      </c>
      <c r="AM29" s="1">
        <v>0.306724532391619</v>
      </c>
      <c r="AN29" s="1">
        <v>0.633604051409925</v>
      </c>
      <c r="AO29" s="1">
        <v>30</v>
      </c>
    </row>
    <row r="30" s="1" customFormat="1" spans="1:41">
      <c r="A30" s="1" t="s">
        <v>134</v>
      </c>
      <c r="B30" s="1" t="s">
        <v>135</v>
      </c>
      <c r="C30" s="1">
        <v>1722.094368</v>
      </c>
      <c r="D30" s="1" t="s">
        <v>136</v>
      </c>
      <c r="E30" s="1" t="s">
        <v>137</v>
      </c>
      <c r="F30" s="1" t="s">
        <v>44</v>
      </c>
      <c r="G30" s="1" t="s">
        <v>45</v>
      </c>
      <c r="H30" s="1">
        <v>8</v>
      </c>
      <c r="I30" s="1">
        <v>64</v>
      </c>
      <c r="J30" s="1">
        <v>61</v>
      </c>
      <c r="K30" s="1">
        <v>95.3125</v>
      </c>
      <c r="L30" s="1">
        <v>36</v>
      </c>
      <c r="M30" s="1">
        <v>56.25</v>
      </c>
      <c r="N30" s="1">
        <v>36</v>
      </c>
      <c r="O30" s="1">
        <v>56.25</v>
      </c>
      <c r="P30" s="1">
        <v>-11.7443611111111</v>
      </c>
      <c r="Q30" s="1">
        <f t="shared" si="0"/>
        <v>-422.797</v>
      </c>
      <c r="R30" s="1">
        <v>-11.714</v>
      </c>
      <c r="S30" s="1">
        <v>-15.945</v>
      </c>
      <c r="T30" s="1">
        <v>-8.233</v>
      </c>
      <c r="U30" s="1">
        <v>-6.66916666666667</v>
      </c>
      <c r="V30" s="1">
        <v>-8.5695</v>
      </c>
      <c r="W30" s="1">
        <v>-9.35547222222222</v>
      </c>
      <c r="X30" s="1">
        <v>-10.062</v>
      </c>
      <c r="Y30" s="1">
        <v>0.237319379881369</v>
      </c>
      <c r="Z30" s="1">
        <v>0.220681614873242</v>
      </c>
      <c r="AA30" s="1">
        <v>0.502950819672131</v>
      </c>
      <c r="AB30" s="1">
        <v>0.5</v>
      </c>
      <c r="AC30" s="1">
        <v>0.214384528257065</v>
      </c>
      <c r="AD30" s="1">
        <v>0.215462016045006</v>
      </c>
      <c r="AE30" s="1">
        <v>0.714248640318525</v>
      </c>
      <c r="AF30" s="1">
        <v>0.783688732621053</v>
      </c>
      <c r="AG30" s="1">
        <v>0.772097797281924</v>
      </c>
      <c r="AH30" s="1">
        <v>0.796565721481622</v>
      </c>
      <c r="AI30" s="1">
        <v>0.824287762099445</v>
      </c>
      <c r="AJ30" s="1">
        <v>0.78602822924375</v>
      </c>
      <c r="AK30" s="1">
        <v>0.80402066316641</v>
      </c>
      <c r="AL30" s="1">
        <v>0.812138645705925</v>
      </c>
      <c r="AM30" s="1">
        <v>0.253397493041311</v>
      </c>
      <c r="AN30" s="1">
        <v>0.58300891253583</v>
      </c>
      <c r="AO30" s="1">
        <v>31</v>
      </c>
    </row>
    <row r="31" s="1" customFormat="1" spans="1:41">
      <c r="A31" s="1" t="s">
        <v>138</v>
      </c>
      <c r="B31" s="1" t="s">
        <v>139</v>
      </c>
      <c r="C31" s="1">
        <v>1427.308143</v>
      </c>
      <c r="D31" s="1" t="s">
        <v>140</v>
      </c>
      <c r="E31" s="1" t="s">
        <v>141</v>
      </c>
      <c r="F31" s="1" t="s">
        <v>44</v>
      </c>
      <c r="G31" s="1" t="s">
        <v>45</v>
      </c>
      <c r="H31" s="1">
        <v>8</v>
      </c>
      <c r="I31" s="1">
        <v>64</v>
      </c>
      <c r="J31" s="1">
        <v>64</v>
      </c>
      <c r="K31" s="1">
        <v>100</v>
      </c>
      <c r="L31" s="1">
        <v>49</v>
      </c>
      <c r="M31" s="1">
        <v>76.5625</v>
      </c>
      <c r="N31" s="1">
        <v>49</v>
      </c>
      <c r="O31" s="1">
        <v>76.5625</v>
      </c>
      <c r="P31" s="1">
        <v>-8.28891836734694</v>
      </c>
      <c r="Q31" s="1">
        <f t="shared" si="0"/>
        <v>-406.157</v>
      </c>
      <c r="R31" s="1">
        <v>-8.159</v>
      </c>
      <c r="S31" s="1">
        <v>-11.216</v>
      </c>
      <c r="T31" s="1">
        <v>-6.169</v>
      </c>
      <c r="U31" s="1">
        <v>-5.94171428571428</v>
      </c>
      <c r="V31" s="1">
        <v>-5.814</v>
      </c>
      <c r="W31" s="1">
        <v>-6.4585306122449</v>
      </c>
      <c r="X31" s="1">
        <v>-6.415</v>
      </c>
      <c r="Y31" s="1">
        <v>0.318964677282882</v>
      </c>
      <c r="Z31" s="1">
        <v>0.294535936676184</v>
      </c>
      <c r="AA31" s="1">
        <v>0.5609375</v>
      </c>
      <c r="AB31" s="1">
        <v>0.58</v>
      </c>
      <c r="AC31" s="1">
        <v>0.205768315836395</v>
      </c>
      <c r="AD31" s="1">
        <v>0.203269283875535</v>
      </c>
      <c r="AE31" s="1">
        <v>0.731098364800858</v>
      </c>
      <c r="AF31" s="1">
        <v>0.793590500018438</v>
      </c>
      <c r="AG31" s="1">
        <v>0.772939377350096</v>
      </c>
      <c r="AH31" s="1">
        <v>0.793474834900581</v>
      </c>
      <c r="AI31" s="1">
        <v>0.821522134981456</v>
      </c>
      <c r="AJ31" s="1">
        <v>0.824428717521471</v>
      </c>
      <c r="AK31" s="1">
        <v>0.801766507351436</v>
      </c>
      <c r="AL31" s="1">
        <v>0.819694929288554</v>
      </c>
      <c r="AM31" s="1">
        <v>0.262456561282786</v>
      </c>
      <c r="AN31" s="1">
        <v>0.589891322700329</v>
      </c>
      <c r="AO31" s="1">
        <v>32</v>
      </c>
    </row>
    <row r="32" s="1" customFormat="1" spans="1:41">
      <c r="A32" s="1" t="s">
        <v>142</v>
      </c>
      <c r="B32" s="1" t="s">
        <v>143</v>
      </c>
      <c r="C32" s="1">
        <v>1237.718469</v>
      </c>
      <c r="D32" s="1" t="s">
        <v>144</v>
      </c>
      <c r="E32" s="1" t="s">
        <v>145</v>
      </c>
      <c r="F32" s="1" t="s">
        <v>44</v>
      </c>
      <c r="G32" s="1" t="s">
        <v>45</v>
      </c>
      <c r="H32" s="1">
        <v>8</v>
      </c>
      <c r="I32" s="1">
        <v>64</v>
      </c>
      <c r="J32" s="1">
        <v>64</v>
      </c>
      <c r="K32" s="1">
        <v>100</v>
      </c>
      <c r="L32" s="1">
        <v>58</v>
      </c>
      <c r="M32" s="1">
        <v>90.625</v>
      </c>
      <c r="N32" s="1">
        <v>58</v>
      </c>
      <c r="O32" s="1">
        <v>90.625</v>
      </c>
      <c r="P32" s="1">
        <v>-7.86929310344828</v>
      </c>
      <c r="Q32" s="1">
        <f t="shared" si="0"/>
        <v>-456.419</v>
      </c>
      <c r="R32" s="1">
        <v>-7.4555</v>
      </c>
      <c r="S32" s="1">
        <v>-14.341</v>
      </c>
      <c r="T32" s="1">
        <v>-3.991</v>
      </c>
      <c r="U32" s="1">
        <v>-6.20313793103448</v>
      </c>
      <c r="V32" s="1">
        <v>-5.953</v>
      </c>
      <c r="W32" s="1">
        <v>-6.40094827586207</v>
      </c>
      <c r="X32" s="1">
        <v>-6.1045</v>
      </c>
      <c r="Y32" s="1">
        <v>0.373027868496428</v>
      </c>
      <c r="Z32" s="1">
        <v>0.396053687562424</v>
      </c>
      <c r="AA32" s="1">
        <v>0.62515625</v>
      </c>
      <c r="AB32" s="1">
        <v>0.63</v>
      </c>
      <c r="AC32" s="1">
        <v>0.252714059006314</v>
      </c>
      <c r="AD32" s="1">
        <v>0.254197680168541</v>
      </c>
      <c r="AE32" s="1">
        <v>0.733355254237849</v>
      </c>
      <c r="AF32" s="1">
        <v>0.792029838630838</v>
      </c>
      <c r="AG32" s="1">
        <v>0.787976787402844</v>
      </c>
      <c r="AH32" s="1">
        <v>0.791467968744822</v>
      </c>
      <c r="AI32" s="1">
        <v>0.811157533392268</v>
      </c>
      <c r="AJ32" s="1">
        <v>0.794016216743243</v>
      </c>
      <c r="AK32" s="1">
        <v>0.805467147902534</v>
      </c>
      <c r="AL32" s="1">
        <v>0.807482545515397</v>
      </c>
      <c r="AM32" s="1">
        <v>0.309304211724855</v>
      </c>
      <c r="AN32" s="1">
        <v>0.597789851365217</v>
      </c>
      <c r="AO32" s="1">
        <v>33</v>
      </c>
    </row>
    <row r="33" s="1" customFormat="1" spans="1:41">
      <c r="A33" s="1" t="s">
        <v>146</v>
      </c>
      <c r="B33" s="1" t="s">
        <v>147</v>
      </c>
      <c r="C33" s="1">
        <v>537.084243</v>
      </c>
      <c r="D33" s="1" t="s">
        <v>148</v>
      </c>
      <c r="E33" s="1" t="s">
        <v>149</v>
      </c>
      <c r="F33" s="1" t="s">
        <v>44</v>
      </c>
      <c r="G33" s="1" t="s">
        <v>45</v>
      </c>
      <c r="H33" s="1">
        <v>8</v>
      </c>
      <c r="I33" s="1">
        <v>64</v>
      </c>
      <c r="J33" s="1">
        <v>64</v>
      </c>
      <c r="K33" s="1">
        <v>100</v>
      </c>
      <c r="L33" s="1">
        <v>58</v>
      </c>
      <c r="M33" s="1">
        <v>90.625</v>
      </c>
      <c r="N33" s="1">
        <v>58</v>
      </c>
      <c r="O33" s="1">
        <v>90.625</v>
      </c>
      <c r="P33" s="1">
        <v>-6.36225862068966</v>
      </c>
      <c r="Q33" s="1">
        <f t="shared" si="0"/>
        <v>-369.011</v>
      </c>
      <c r="R33" s="1">
        <v>-5.8615</v>
      </c>
      <c r="S33" s="1">
        <v>-10.922</v>
      </c>
      <c r="T33" s="1">
        <v>-5.036</v>
      </c>
      <c r="U33" s="1">
        <v>-4.60356896551724</v>
      </c>
      <c r="V33" s="1">
        <v>-4.553</v>
      </c>
      <c r="W33" s="1">
        <v>-5.08331034482759</v>
      </c>
      <c r="X33" s="1">
        <v>-4.8975</v>
      </c>
      <c r="Y33" s="1">
        <v>0.452810586094844</v>
      </c>
      <c r="Z33" s="1">
        <v>0.458432551375188</v>
      </c>
      <c r="AA33" s="1">
        <v>0.74015625</v>
      </c>
      <c r="AB33" s="1">
        <v>0.81</v>
      </c>
      <c r="AC33" s="1">
        <v>0.168090733237077</v>
      </c>
      <c r="AD33" s="1">
        <v>0.149008937310616</v>
      </c>
      <c r="AE33" s="1">
        <v>0.769261441582414</v>
      </c>
      <c r="AF33" s="1">
        <v>0.812208627227784</v>
      </c>
      <c r="AG33" s="1">
        <v>0.779965057638445</v>
      </c>
      <c r="AH33" s="1">
        <v>0.818694414528828</v>
      </c>
      <c r="AI33" s="1">
        <v>0.829856729738858</v>
      </c>
      <c r="AJ33" s="1">
        <v>0.823209808707241</v>
      </c>
      <c r="AK33" s="1">
        <v>0.819284196185187</v>
      </c>
      <c r="AL33" s="1">
        <v>0.820450304341742</v>
      </c>
      <c r="AM33" s="1">
        <v>0.459932296009433</v>
      </c>
      <c r="AN33" s="1">
        <v>0.675299383603415</v>
      </c>
      <c r="AO33" s="1">
        <v>34</v>
      </c>
    </row>
    <row r="34" s="1" customFormat="1" spans="1:41">
      <c r="A34" s="1" t="s">
        <v>150</v>
      </c>
      <c r="B34" s="1" t="s">
        <v>151</v>
      </c>
      <c r="C34" s="1">
        <v>540.833993</v>
      </c>
      <c r="D34" s="1" t="s">
        <v>152</v>
      </c>
      <c r="E34" s="1" t="s">
        <v>153</v>
      </c>
      <c r="F34" s="1" t="s">
        <v>44</v>
      </c>
      <c r="G34" s="1" t="s">
        <v>45</v>
      </c>
      <c r="H34" s="1">
        <v>8</v>
      </c>
      <c r="I34" s="1">
        <v>64</v>
      </c>
      <c r="J34" s="1">
        <v>62</v>
      </c>
      <c r="K34" s="1">
        <v>96.875</v>
      </c>
      <c r="L34" s="1">
        <v>48</v>
      </c>
      <c r="M34" s="1">
        <v>75</v>
      </c>
      <c r="N34" s="1">
        <v>48</v>
      </c>
      <c r="O34" s="1">
        <v>75</v>
      </c>
      <c r="P34" s="1">
        <v>-8.6195</v>
      </c>
      <c r="Q34" s="1">
        <f t="shared" si="0"/>
        <v>-413.736</v>
      </c>
      <c r="R34" s="1">
        <v>-8.3375</v>
      </c>
      <c r="S34" s="1">
        <v>-12.317</v>
      </c>
      <c r="T34" s="1">
        <v>-6.104</v>
      </c>
      <c r="U34" s="1">
        <v>-7.73608333333333</v>
      </c>
      <c r="V34" s="1">
        <v>-7.875</v>
      </c>
      <c r="W34" s="1">
        <v>-8.17658333333333</v>
      </c>
      <c r="X34" s="1">
        <v>-8.105</v>
      </c>
      <c r="Y34" s="1">
        <v>0.284909077045182</v>
      </c>
      <c r="Z34" s="1">
        <v>0.28251989140281</v>
      </c>
      <c r="AA34" s="1">
        <v>0.568064516129032</v>
      </c>
      <c r="AB34" s="1">
        <v>0.57</v>
      </c>
      <c r="AC34" s="1">
        <v>0.246219578866186</v>
      </c>
      <c r="AD34" s="1">
        <v>0.240148640630193</v>
      </c>
      <c r="AE34" s="1">
        <v>0.789674891742805</v>
      </c>
      <c r="AF34" s="1">
        <v>0.818169031560762</v>
      </c>
      <c r="AG34" s="1">
        <v>0.814258192311407</v>
      </c>
      <c r="AH34" s="1">
        <v>0.793667164125971</v>
      </c>
      <c r="AI34" s="1">
        <v>0.823879666935929</v>
      </c>
      <c r="AJ34" s="1">
        <v>0.802321601583166</v>
      </c>
      <c r="AK34" s="1">
        <v>0.805283429164448</v>
      </c>
      <c r="AL34" s="1">
        <v>0.816067372516897</v>
      </c>
      <c r="AM34" s="1">
        <v>0.409069064116006</v>
      </c>
      <c r="AN34" s="1">
        <v>0.713688758809228</v>
      </c>
      <c r="AO34" s="1">
        <v>35</v>
      </c>
    </row>
    <row r="35" s="1" customFormat="1" spans="1:41">
      <c r="A35" s="1" t="s">
        <v>154</v>
      </c>
      <c r="B35" s="1" t="s">
        <v>155</v>
      </c>
      <c r="C35" s="1">
        <v>2067.89396</v>
      </c>
      <c r="D35" s="1" t="s">
        <v>156</v>
      </c>
      <c r="E35" s="1" t="s">
        <v>157</v>
      </c>
      <c r="F35" s="1" t="s">
        <v>44</v>
      </c>
      <c r="G35" s="1" t="s">
        <v>45</v>
      </c>
      <c r="H35" s="1">
        <v>8</v>
      </c>
      <c r="I35" s="1">
        <v>64</v>
      </c>
      <c r="J35" s="1">
        <v>64</v>
      </c>
      <c r="K35" s="1">
        <v>100</v>
      </c>
      <c r="L35" s="1">
        <v>53</v>
      </c>
      <c r="M35" s="1">
        <v>82.8125</v>
      </c>
      <c r="N35" s="1">
        <v>53</v>
      </c>
      <c r="O35" s="1">
        <v>82.8125</v>
      </c>
      <c r="P35" s="1">
        <v>-9.72452830188679</v>
      </c>
      <c r="Q35" s="1">
        <f t="shared" ref="Q35:Q66" si="1">PRODUCT(N35,P35)</f>
        <v>-515.4</v>
      </c>
      <c r="R35" s="1">
        <v>-9.696</v>
      </c>
      <c r="S35" s="1">
        <v>-13.545</v>
      </c>
      <c r="T35" s="1">
        <v>-7.182</v>
      </c>
      <c r="U35" s="1">
        <v>-8.08615094339623</v>
      </c>
      <c r="V35" s="1">
        <v>-7.867</v>
      </c>
      <c r="W35" s="1">
        <v>-8.40845283018868</v>
      </c>
      <c r="X35" s="1">
        <v>-8.101</v>
      </c>
      <c r="Y35" s="1">
        <v>0.200108553666044</v>
      </c>
      <c r="Z35" s="1">
        <v>0.195250626623468</v>
      </c>
      <c r="AA35" s="1">
        <v>0.5209375</v>
      </c>
      <c r="AB35" s="1">
        <v>0.535</v>
      </c>
      <c r="AC35" s="1">
        <v>0.198432485007319</v>
      </c>
      <c r="AD35" s="1">
        <v>0.191680853667805</v>
      </c>
      <c r="AE35" s="1">
        <v>0.733796649291482</v>
      </c>
      <c r="AF35" s="1">
        <v>0.805131907947008</v>
      </c>
      <c r="AG35" s="1">
        <v>0.808656466439988</v>
      </c>
      <c r="AH35" s="1">
        <v>0.763225460546561</v>
      </c>
      <c r="AI35" s="1">
        <v>0.811352414118643</v>
      </c>
      <c r="AJ35" s="1">
        <v>0.785707436296056</v>
      </c>
      <c r="AK35" s="1">
        <v>0.806968345921403</v>
      </c>
      <c r="AL35" s="1">
        <v>0.808557335489851</v>
      </c>
      <c r="AM35" s="1">
        <v>0.263359971959758</v>
      </c>
      <c r="AN35" s="1">
        <v>0.62274814659531</v>
      </c>
      <c r="AO35" s="1">
        <v>36</v>
      </c>
    </row>
    <row r="36" s="1" customFormat="1" spans="1:41">
      <c r="A36" s="1" t="s">
        <v>158</v>
      </c>
      <c r="B36" s="1" t="s">
        <v>159</v>
      </c>
      <c r="C36" s="1">
        <v>1480.186778</v>
      </c>
      <c r="D36" s="1" t="s">
        <v>160</v>
      </c>
      <c r="E36" s="1" t="s">
        <v>161</v>
      </c>
      <c r="F36" s="1" t="s">
        <v>44</v>
      </c>
      <c r="G36" s="1" t="s">
        <v>45</v>
      </c>
      <c r="H36" s="1">
        <v>8</v>
      </c>
      <c r="I36" s="1">
        <v>64</v>
      </c>
      <c r="J36" s="1">
        <v>63</v>
      </c>
      <c r="K36" s="1">
        <v>98.4375</v>
      </c>
      <c r="L36" s="1">
        <v>53</v>
      </c>
      <c r="M36" s="1">
        <v>82.8125</v>
      </c>
      <c r="N36" s="1">
        <v>53</v>
      </c>
      <c r="O36" s="1">
        <v>82.8125</v>
      </c>
      <c r="P36" s="1">
        <v>-8.04305660377359</v>
      </c>
      <c r="Q36" s="1">
        <f t="shared" si="1"/>
        <v>-426.282</v>
      </c>
      <c r="R36" s="1">
        <v>-7.897</v>
      </c>
      <c r="S36" s="1">
        <v>-11.153</v>
      </c>
      <c r="T36" s="1">
        <v>-5.962</v>
      </c>
      <c r="U36" s="1">
        <v>-5.13675471698113</v>
      </c>
      <c r="V36" s="1">
        <v>-5.533</v>
      </c>
      <c r="W36" s="1">
        <v>-5.69101886792453</v>
      </c>
      <c r="X36" s="1">
        <v>-5.904</v>
      </c>
      <c r="Y36" s="1">
        <v>0.274927488546491</v>
      </c>
      <c r="Z36" s="1">
        <v>0.230242131332517</v>
      </c>
      <c r="AA36" s="1">
        <v>0.538412698412698</v>
      </c>
      <c r="AB36" s="1">
        <v>0.53</v>
      </c>
      <c r="AC36" s="1">
        <v>0.221586080547422</v>
      </c>
      <c r="AD36" s="1">
        <v>0.21424071380815</v>
      </c>
      <c r="AE36" s="1">
        <v>0.740764050596378</v>
      </c>
      <c r="AF36" s="1">
        <v>0.804809806588935</v>
      </c>
      <c r="AG36" s="1">
        <v>0.79258678191824</v>
      </c>
      <c r="AH36" s="1">
        <v>0.78182986553652</v>
      </c>
      <c r="AI36" s="1">
        <v>0.808433187924612</v>
      </c>
      <c r="AJ36" s="1">
        <v>0.80054364841802</v>
      </c>
      <c r="AK36" s="1">
        <v>0.808001714085581</v>
      </c>
      <c r="AL36" s="1">
        <v>0.803029612905084</v>
      </c>
      <c r="AM36" s="1">
        <v>0.286647034862661</v>
      </c>
      <c r="AN36" s="1">
        <v>0.619366573968987</v>
      </c>
      <c r="AO36" s="1">
        <v>37</v>
      </c>
    </row>
    <row r="37" s="1" customFormat="1" spans="1:41">
      <c r="A37" s="1" t="s">
        <v>162</v>
      </c>
      <c r="B37" s="1" t="s">
        <v>163</v>
      </c>
      <c r="C37" s="1">
        <v>756.480421</v>
      </c>
      <c r="D37" s="1" t="s">
        <v>164</v>
      </c>
      <c r="E37" s="1" t="s">
        <v>165</v>
      </c>
      <c r="F37" s="1" t="s">
        <v>44</v>
      </c>
      <c r="G37" s="1" t="s">
        <v>45</v>
      </c>
      <c r="H37" s="1">
        <v>8</v>
      </c>
      <c r="I37" s="1">
        <v>64</v>
      </c>
      <c r="J37" s="1">
        <v>61</v>
      </c>
      <c r="K37" s="1">
        <v>95.3125</v>
      </c>
      <c r="L37" s="1">
        <v>56</v>
      </c>
      <c r="M37" s="1">
        <v>87.5</v>
      </c>
      <c r="N37" s="1">
        <v>56</v>
      </c>
      <c r="O37" s="1">
        <v>87.5</v>
      </c>
      <c r="P37" s="1">
        <v>-4.03885714285714</v>
      </c>
      <c r="Q37" s="1">
        <f t="shared" si="1"/>
        <v>-226.176</v>
      </c>
      <c r="R37" s="1">
        <v>-3.7475</v>
      </c>
      <c r="S37" s="1">
        <v>-7.455</v>
      </c>
      <c r="T37" s="1">
        <v>-2.956</v>
      </c>
      <c r="U37" s="1">
        <v>-1.64498214285714</v>
      </c>
      <c r="V37" s="1">
        <v>-1.584</v>
      </c>
      <c r="W37" s="1">
        <v>-2.18319642857143</v>
      </c>
      <c r="X37" s="1">
        <v>-2.254</v>
      </c>
      <c r="Y37" s="1">
        <v>0.388576684004254</v>
      </c>
      <c r="Z37" s="1">
        <v>0.398903301546341</v>
      </c>
      <c r="AA37" s="1">
        <v>0.66672131147541</v>
      </c>
      <c r="AB37" s="1">
        <v>0.69</v>
      </c>
      <c r="AC37" s="1">
        <v>0.279651954642128</v>
      </c>
      <c r="AD37" s="1">
        <v>0.277008794374182</v>
      </c>
      <c r="AE37" s="1">
        <v>0.782807029676917</v>
      </c>
      <c r="AF37" s="1">
        <v>0.801060787751871</v>
      </c>
      <c r="AG37" s="1">
        <v>0.79430146029168</v>
      </c>
      <c r="AH37" s="1">
        <v>0.808694703749056</v>
      </c>
      <c r="AI37" s="1">
        <v>0.799614798359613</v>
      </c>
      <c r="AJ37" s="1">
        <v>0.802292753547489</v>
      </c>
      <c r="AK37" s="1">
        <v>0.807796445115288</v>
      </c>
      <c r="AL37" s="1">
        <v>0.810240799015543</v>
      </c>
      <c r="AM37" s="1">
        <v>0.471477264007903</v>
      </c>
      <c r="AN37" s="1">
        <v>0.708005151942127</v>
      </c>
      <c r="AO37" s="1">
        <v>38</v>
      </c>
    </row>
    <row r="38" s="1" customFormat="1" spans="1:41">
      <c r="A38" s="1" t="s">
        <v>166</v>
      </c>
      <c r="B38" s="1" t="s">
        <v>167</v>
      </c>
      <c r="C38" s="1">
        <v>1098.393787</v>
      </c>
      <c r="D38" s="1" t="s">
        <v>168</v>
      </c>
      <c r="E38" s="1" t="s">
        <v>169</v>
      </c>
      <c r="F38" s="1" t="s">
        <v>44</v>
      </c>
      <c r="G38" s="1" t="s">
        <v>45</v>
      </c>
      <c r="H38" s="1">
        <v>8</v>
      </c>
      <c r="I38" s="1">
        <v>64</v>
      </c>
      <c r="J38" s="1">
        <v>64</v>
      </c>
      <c r="K38" s="1">
        <v>100</v>
      </c>
      <c r="L38" s="1">
        <v>54</v>
      </c>
      <c r="M38" s="1">
        <v>84.375</v>
      </c>
      <c r="N38" s="1">
        <v>54</v>
      </c>
      <c r="O38" s="1">
        <v>84.375</v>
      </c>
      <c r="P38" s="1">
        <v>-11.1777407407407</v>
      </c>
      <c r="Q38" s="1">
        <f t="shared" si="1"/>
        <v>-603.597999999998</v>
      </c>
      <c r="R38" s="1">
        <v>-10.6255</v>
      </c>
      <c r="S38" s="1">
        <v>-18.677</v>
      </c>
      <c r="T38" s="1">
        <v>-7.083</v>
      </c>
      <c r="U38" s="1">
        <v>-8.10712962962963</v>
      </c>
      <c r="V38" s="1">
        <v>-9.143</v>
      </c>
      <c r="W38" s="1">
        <v>-9.98742592592593</v>
      </c>
      <c r="X38" s="1">
        <v>-9.5275</v>
      </c>
      <c r="Y38" s="1">
        <v>0.308450855257903</v>
      </c>
      <c r="Z38" s="1">
        <v>0.271797571382304</v>
      </c>
      <c r="AA38" s="1">
        <v>0.60640625</v>
      </c>
      <c r="AB38" s="1">
        <v>0.615</v>
      </c>
      <c r="AC38" s="1">
        <v>0.263791396015858</v>
      </c>
      <c r="AD38" s="1">
        <v>0.294336749946449</v>
      </c>
      <c r="AE38" s="1">
        <v>0.735684421738721</v>
      </c>
      <c r="AF38" s="1">
        <v>0.792181825529004</v>
      </c>
      <c r="AG38" s="1">
        <v>0.804392152750343</v>
      </c>
      <c r="AH38" s="1">
        <v>0.799547253447408</v>
      </c>
      <c r="AI38" s="1">
        <v>0.8153996424608</v>
      </c>
      <c r="AJ38" s="1">
        <v>0.829166792342133</v>
      </c>
      <c r="AK38" s="1">
        <v>0.804179510977609</v>
      </c>
      <c r="AL38" s="1">
        <v>0.808517083397343</v>
      </c>
      <c r="AM38" s="1">
        <v>0.298672691299601</v>
      </c>
      <c r="AN38" s="1">
        <v>0.606773851590301</v>
      </c>
      <c r="AO38" s="1">
        <v>39</v>
      </c>
    </row>
    <row r="39" s="1" customFormat="1" spans="1:41">
      <c r="A39" s="1" t="s">
        <v>170</v>
      </c>
      <c r="B39" s="1" t="s">
        <v>171</v>
      </c>
      <c r="C39" s="1">
        <v>855.306136</v>
      </c>
      <c r="D39" s="1" t="s">
        <v>172</v>
      </c>
      <c r="E39" s="1" t="s">
        <v>173</v>
      </c>
      <c r="F39" s="1" t="s">
        <v>44</v>
      </c>
      <c r="G39" s="1" t="s">
        <v>45</v>
      </c>
      <c r="H39" s="1">
        <v>8</v>
      </c>
      <c r="I39" s="1">
        <v>64</v>
      </c>
      <c r="J39" s="1">
        <v>64</v>
      </c>
      <c r="K39" s="1">
        <v>100</v>
      </c>
      <c r="L39" s="1">
        <v>57</v>
      </c>
      <c r="M39" s="1">
        <v>89.0625</v>
      </c>
      <c r="N39" s="1">
        <v>57</v>
      </c>
      <c r="O39" s="1">
        <v>89.0625</v>
      </c>
      <c r="P39" s="1">
        <v>-7.07119298245614</v>
      </c>
      <c r="Q39" s="1">
        <f t="shared" si="1"/>
        <v>-403.058</v>
      </c>
      <c r="R39" s="1">
        <v>-7.016</v>
      </c>
      <c r="S39" s="1">
        <v>-12.175</v>
      </c>
      <c r="T39" s="1">
        <v>-5.044</v>
      </c>
      <c r="U39" s="1">
        <v>-5.74270175438596</v>
      </c>
      <c r="V39" s="1">
        <v>-5.373</v>
      </c>
      <c r="W39" s="1">
        <v>-5.93659649122807</v>
      </c>
      <c r="X39" s="1">
        <v>-5.546</v>
      </c>
      <c r="Y39" s="1">
        <v>0.4380573526399</v>
      </c>
      <c r="Z39" s="1">
        <v>0.437151019900976</v>
      </c>
      <c r="AA39" s="1">
        <v>0.63546875</v>
      </c>
      <c r="AB39" s="1">
        <v>0.63</v>
      </c>
      <c r="AC39" s="1">
        <v>0.227251323676874</v>
      </c>
      <c r="AD39" s="1">
        <v>0.20649225314711</v>
      </c>
      <c r="AE39" s="1">
        <v>0.772219931976919</v>
      </c>
      <c r="AF39" s="1">
        <v>0.801803433872878</v>
      </c>
      <c r="AG39" s="1">
        <v>0.777962087966861</v>
      </c>
      <c r="AH39" s="1">
        <v>0.787278041119011</v>
      </c>
      <c r="AI39" s="1">
        <v>0.808815775817455</v>
      </c>
      <c r="AJ39" s="1">
        <v>0.8316926941258</v>
      </c>
      <c r="AK39" s="1">
        <v>0.813272680757678</v>
      </c>
      <c r="AL39" s="1">
        <v>0.812913245702694</v>
      </c>
      <c r="AM39" s="1">
        <v>0.366471645649283</v>
      </c>
      <c r="AN39" s="1">
        <v>0.669317848668344</v>
      </c>
      <c r="AO39" s="1">
        <v>40</v>
      </c>
    </row>
    <row r="40" s="1" customFormat="1" spans="1:41">
      <c r="A40" s="1" t="s">
        <v>174</v>
      </c>
      <c r="B40" s="1" t="s">
        <v>175</v>
      </c>
      <c r="C40" s="1">
        <v>2385.685813</v>
      </c>
      <c r="D40" s="1" t="s">
        <v>176</v>
      </c>
      <c r="E40" s="1" t="s">
        <v>177</v>
      </c>
      <c r="F40" s="1" t="s">
        <v>44</v>
      </c>
      <c r="G40" s="1" t="s">
        <v>45</v>
      </c>
      <c r="H40" s="1">
        <v>8</v>
      </c>
      <c r="I40" s="1">
        <v>64</v>
      </c>
      <c r="J40" s="1">
        <v>61</v>
      </c>
      <c r="K40" s="1">
        <v>95.3125</v>
      </c>
      <c r="L40" s="1">
        <v>36</v>
      </c>
      <c r="M40" s="1">
        <v>56.25</v>
      </c>
      <c r="N40" s="1">
        <v>36</v>
      </c>
      <c r="O40" s="1">
        <v>56.25</v>
      </c>
      <c r="P40" s="1">
        <v>-9.22058333333334</v>
      </c>
      <c r="Q40" s="1">
        <f t="shared" si="1"/>
        <v>-331.941</v>
      </c>
      <c r="R40" s="1">
        <v>-9.182</v>
      </c>
      <c r="S40" s="1">
        <v>-11.502</v>
      </c>
      <c r="T40" s="1">
        <v>-6.109</v>
      </c>
      <c r="U40" s="1">
        <v>-7.17411111111111</v>
      </c>
      <c r="V40" s="1">
        <v>-7.154</v>
      </c>
      <c r="W40" s="1">
        <v>-7.14586111111111</v>
      </c>
      <c r="X40" s="1">
        <v>-6.7225</v>
      </c>
      <c r="Y40" s="1">
        <v>0.133950921474874</v>
      </c>
      <c r="Z40" s="1">
        <v>0.0980115108544114</v>
      </c>
      <c r="AA40" s="1">
        <v>0.508524590163934</v>
      </c>
      <c r="AB40" s="1">
        <v>0.48</v>
      </c>
      <c r="AC40" s="1">
        <v>0.220063463722855</v>
      </c>
      <c r="AD40" s="1">
        <v>0.215314170161361</v>
      </c>
      <c r="AE40" s="1">
        <v>0.700980597965163</v>
      </c>
      <c r="AF40" s="1">
        <v>0.785056866305749</v>
      </c>
      <c r="AG40" s="1">
        <v>0.792931972004023</v>
      </c>
      <c r="AH40" s="1">
        <v>0.790486629162426</v>
      </c>
      <c r="AI40" s="1">
        <v>0.800014799648289</v>
      </c>
      <c r="AJ40" s="1">
        <v>0.82596541208892</v>
      </c>
      <c r="AK40" s="1">
        <v>0.802772479216004</v>
      </c>
      <c r="AL40" s="1">
        <v>0.807631883930774</v>
      </c>
      <c r="AM40" s="1">
        <v>0.287752274604436</v>
      </c>
      <c r="AN40" s="1">
        <v>0.584281554646876</v>
      </c>
      <c r="AO40" s="1">
        <v>41</v>
      </c>
    </row>
    <row r="41" s="1" customFormat="1" spans="1:41">
      <c r="A41" s="1" t="s">
        <v>178</v>
      </c>
      <c r="B41" s="1" t="s">
        <v>179</v>
      </c>
      <c r="C41" s="1">
        <v>883.541141</v>
      </c>
      <c r="D41" s="1" t="s">
        <v>180</v>
      </c>
      <c r="E41" s="1" t="s">
        <v>181</v>
      </c>
      <c r="F41" s="1" t="s">
        <v>44</v>
      </c>
      <c r="G41" s="1" t="s">
        <v>45</v>
      </c>
      <c r="H41" s="1">
        <v>8</v>
      </c>
      <c r="I41" s="1">
        <v>64</v>
      </c>
      <c r="J41" s="1">
        <v>64</v>
      </c>
      <c r="K41" s="1">
        <v>100</v>
      </c>
      <c r="L41" s="1">
        <v>39</v>
      </c>
      <c r="M41" s="1">
        <v>60.9375</v>
      </c>
      <c r="N41" s="1">
        <v>39</v>
      </c>
      <c r="O41" s="1">
        <v>60.9375</v>
      </c>
      <c r="P41" s="1">
        <v>-11.8461794871795</v>
      </c>
      <c r="Q41" s="1">
        <f t="shared" si="1"/>
        <v>-462.001</v>
      </c>
      <c r="R41" s="1">
        <v>-11.419</v>
      </c>
      <c r="S41" s="1">
        <v>-18.242</v>
      </c>
      <c r="T41" s="1">
        <v>-8.955</v>
      </c>
      <c r="U41" s="1">
        <v>-9.60923076923077</v>
      </c>
      <c r="V41" s="1">
        <v>-9.511</v>
      </c>
      <c r="W41" s="1">
        <v>-10.1493076923077</v>
      </c>
      <c r="X41" s="1">
        <v>-9.969</v>
      </c>
      <c r="Y41" s="1">
        <v>0.318612952328081</v>
      </c>
      <c r="Z41" s="1">
        <v>0.288835007649673</v>
      </c>
      <c r="AA41" s="1">
        <v>0.55734375</v>
      </c>
      <c r="AB41" s="1">
        <v>0.56</v>
      </c>
      <c r="AC41" s="1">
        <v>0.251182075546265</v>
      </c>
      <c r="AD41" s="1">
        <v>0.240420109206421</v>
      </c>
      <c r="AE41" s="1">
        <v>0.733030465912673</v>
      </c>
      <c r="AF41" s="1">
        <v>0.794792325513842</v>
      </c>
      <c r="AG41" s="1">
        <v>0.787941051372959</v>
      </c>
      <c r="AH41" s="1">
        <v>0.787095075023233</v>
      </c>
      <c r="AI41" s="1">
        <v>0.822869497332513</v>
      </c>
      <c r="AJ41" s="1">
        <v>0.824363213405041</v>
      </c>
      <c r="AK41" s="1">
        <v>0.810841674497916</v>
      </c>
      <c r="AL41" s="1">
        <v>0.815550826554947</v>
      </c>
      <c r="AM41" s="1">
        <v>0.268418317988753</v>
      </c>
      <c r="AN41" s="1">
        <v>0.603144543692811</v>
      </c>
      <c r="AO41" s="1">
        <v>42</v>
      </c>
    </row>
    <row r="42" s="1" customFormat="1" spans="1:41">
      <c r="A42" s="1" t="s">
        <v>182</v>
      </c>
      <c r="B42" s="1" t="s">
        <v>183</v>
      </c>
      <c r="C42" s="1">
        <v>486.648812</v>
      </c>
      <c r="D42" s="1" t="s">
        <v>184</v>
      </c>
      <c r="E42" s="1" t="s">
        <v>185</v>
      </c>
      <c r="F42" s="1" t="s">
        <v>44</v>
      </c>
      <c r="G42" s="1" t="s">
        <v>45</v>
      </c>
      <c r="H42" s="1">
        <v>8</v>
      </c>
      <c r="I42" s="1">
        <v>64</v>
      </c>
      <c r="J42" s="1">
        <v>63</v>
      </c>
      <c r="K42" s="1">
        <v>98.4375</v>
      </c>
      <c r="L42" s="1">
        <v>57</v>
      </c>
      <c r="M42" s="1">
        <v>89.0625</v>
      </c>
      <c r="N42" s="1">
        <v>57</v>
      </c>
      <c r="O42" s="1">
        <v>89.0625</v>
      </c>
      <c r="P42" s="1">
        <v>-5.19966666666667</v>
      </c>
      <c r="Q42" s="1">
        <f t="shared" si="1"/>
        <v>-296.381</v>
      </c>
      <c r="R42" s="1">
        <v>-5.022</v>
      </c>
      <c r="S42" s="1">
        <v>-7.338</v>
      </c>
      <c r="T42" s="1">
        <v>-3.549</v>
      </c>
      <c r="U42" s="1">
        <v>-3.3939298245614</v>
      </c>
      <c r="V42" s="1">
        <v>-3.314</v>
      </c>
      <c r="W42" s="1">
        <v>-3.71782456140351</v>
      </c>
      <c r="X42" s="1">
        <v>-3.593</v>
      </c>
      <c r="Y42" s="1">
        <v>0.440694467888251</v>
      </c>
      <c r="Z42" s="1">
        <v>0.444290459987144</v>
      </c>
      <c r="AA42" s="1">
        <v>0.664444444444444</v>
      </c>
      <c r="AB42" s="1">
        <v>0.67</v>
      </c>
      <c r="AC42" s="1">
        <v>0.246007629967183</v>
      </c>
      <c r="AD42" s="1">
        <v>0.255306012091556</v>
      </c>
      <c r="AE42" s="1">
        <v>0.784327844841415</v>
      </c>
      <c r="AF42" s="1">
        <v>0.80639025308255</v>
      </c>
      <c r="AG42" s="1">
        <v>0.81485028069212</v>
      </c>
      <c r="AH42" s="1">
        <v>0.81078099068982</v>
      </c>
      <c r="AI42" s="1">
        <v>0.822356751885494</v>
      </c>
      <c r="AJ42" s="1">
        <v>0.799807602828777</v>
      </c>
      <c r="AK42" s="1">
        <v>0.811951890058863</v>
      </c>
      <c r="AL42" s="1">
        <v>0.824041021996998</v>
      </c>
      <c r="AM42" s="1">
        <v>0.484405410402912</v>
      </c>
      <c r="AN42" s="1">
        <v>0.694763492712337</v>
      </c>
      <c r="AO42" s="1">
        <v>43</v>
      </c>
    </row>
    <row r="43" s="1" customFormat="1" spans="1:41">
      <c r="A43" s="1" t="s">
        <v>186</v>
      </c>
      <c r="B43" s="1" t="s">
        <v>187</v>
      </c>
      <c r="C43" s="1">
        <v>1689.665482</v>
      </c>
      <c r="D43" s="1" t="s">
        <v>188</v>
      </c>
      <c r="E43" s="1" t="s">
        <v>189</v>
      </c>
      <c r="F43" s="1" t="s">
        <v>44</v>
      </c>
      <c r="G43" s="1" t="s">
        <v>45</v>
      </c>
      <c r="H43" s="1">
        <v>8</v>
      </c>
      <c r="I43" s="1">
        <v>64</v>
      </c>
      <c r="J43" s="1">
        <v>64</v>
      </c>
      <c r="K43" s="1">
        <v>100</v>
      </c>
      <c r="L43" s="1">
        <v>41</v>
      </c>
      <c r="M43" s="1">
        <v>64.0625</v>
      </c>
      <c r="N43" s="1">
        <v>41</v>
      </c>
      <c r="O43" s="1">
        <v>64.0625</v>
      </c>
      <c r="P43" s="1">
        <v>-9.5820243902439</v>
      </c>
      <c r="Q43" s="1">
        <f t="shared" si="1"/>
        <v>-392.863</v>
      </c>
      <c r="R43" s="1">
        <v>-9.782</v>
      </c>
      <c r="S43" s="1">
        <v>-12.896</v>
      </c>
      <c r="T43" s="1">
        <v>-6.804</v>
      </c>
      <c r="U43" s="1">
        <v>-8.36682926829268</v>
      </c>
      <c r="V43" s="1">
        <v>-8.335</v>
      </c>
      <c r="W43" s="1">
        <v>-8.62829268292683</v>
      </c>
      <c r="X43" s="1">
        <v>-8.676</v>
      </c>
      <c r="Y43" s="1">
        <v>0.151621389376806</v>
      </c>
      <c r="Z43" s="1">
        <v>0.132719671212162</v>
      </c>
      <c r="AA43" s="1">
        <v>0.53171875</v>
      </c>
      <c r="AB43" s="1">
        <v>0.53</v>
      </c>
      <c r="AC43" s="1">
        <v>0.212953297289688</v>
      </c>
      <c r="AD43" s="1">
        <v>0.216228108323911</v>
      </c>
      <c r="AE43" s="1">
        <v>0.768902450957606</v>
      </c>
      <c r="AF43" s="1">
        <v>0.813703631536286</v>
      </c>
      <c r="AG43" s="1">
        <v>0.815919018039956</v>
      </c>
      <c r="AH43" s="1">
        <v>0.769732832898008</v>
      </c>
      <c r="AI43" s="1">
        <v>0.815328111147917</v>
      </c>
      <c r="AJ43" s="1">
        <v>0.797217011089755</v>
      </c>
      <c r="AK43" s="1">
        <v>0.807052792118205</v>
      </c>
      <c r="AL43" s="1">
        <v>0.816482460968267</v>
      </c>
      <c r="AM43" s="1">
        <v>0.262565216309881</v>
      </c>
      <c r="AN43" s="1">
        <v>0.672012985522677</v>
      </c>
      <c r="AO43" s="1">
        <v>44</v>
      </c>
    </row>
    <row r="44" s="1" customFormat="1" spans="1:41">
      <c r="A44" s="1" t="s">
        <v>190</v>
      </c>
      <c r="B44" s="1" t="s">
        <v>191</v>
      </c>
      <c r="C44" s="1">
        <v>1030.855331</v>
      </c>
      <c r="D44" s="1" t="s">
        <v>192</v>
      </c>
      <c r="E44" s="1" t="s">
        <v>193</v>
      </c>
      <c r="F44" s="1" t="s">
        <v>44</v>
      </c>
      <c r="G44" s="1" t="s">
        <v>45</v>
      </c>
      <c r="H44" s="1">
        <v>8</v>
      </c>
      <c r="I44" s="1">
        <v>64</v>
      </c>
      <c r="J44" s="1">
        <v>64</v>
      </c>
      <c r="K44" s="1">
        <v>100</v>
      </c>
      <c r="L44" s="1">
        <v>58</v>
      </c>
      <c r="M44" s="1">
        <v>90.625</v>
      </c>
      <c r="N44" s="1">
        <v>58</v>
      </c>
      <c r="O44" s="1">
        <v>90.625</v>
      </c>
      <c r="P44" s="1">
        <v>-7.54627586206897</v>
      </c>
      <c r="Q44" s="1">
        <f t="shared" si="1"/>
        <v>-437.684</v>
      </c>
      <c r="R44" s="1">
        <v>-7.651</v>
      </c>
      <c r="S44" s="1">
        <v>-10.123</v>
      </c>
      <c r="T44" s="1">
        <v>-4.886</v>
      </c>
      <c r="U44" s="1">
        <v>-4.7108275862069</v>
      </c>
      <c r="V44" s="1">
        <v>-4.5665</v>
      </c>
      <c r="W44" s="1">
        <v>-5.17612068965517</v>
      </c>
      <c r="X44" s="1">
        <v>-5.025</v>
      </c>
      <c r="Y44" s="1">
        <v>0.374261307297114</v>
      </c>
      <c r="Z44" s="1">
        <v>0.384959656818088</v>
      </c>
      <c r="AA44" s="1">
        <v>0.6384375</v>
      </c>
      <c r="AB44" s="1">
        <v>0.61</v>
      </c>
      <c r="AC44" s="1">
        <v>0.207883889795532</v>
      </c>
      <c r="AD44" s="1">
        <v>0.185495179574714</v>
      </c>
      <c r="AE44" s="1">
        <v>0.745913500203056</v>
      </c>
      <c r="AF44" s="1">
        <v>0.803361387401394</v>
      </c>
      <c r="AG44" s="1">
        <v>0.797348823288355</v>
      </c>
      <c r="AH44" s="1">
        <v>0.789493546241561</v>
      </c>
      <c r="AI44" s="1">
        <v>0.816125789779038</v>
      </c>
      <c r="AJ44" s="1">
        <v>0.809970303984891</v>
      </c>
      <c r="AK44" s="1">
        <v>0.811043752222065</v>
      </c>
      <c r="AL44" s="1">
        <v>0.81295118455748</v>
      </c>
      <c r="AM44" s="1">
        <v>0.321391980683049</v>
      </c>
      <c r="AN44" s="1">
        <v>0.631873185982377</v>
      </c>
      <c r="AO44" s="1">
        <v>45</v>
      </c>
    </row>
    <row r="45" s="1" customFormat="1" spans="1:41">
      <c r="A45" s="1" t="s">
        <v>194</v>
      </c>
      <c r="B45" s="1" t="s">
        <v>195</v>
      </c>
      <c r="C45" s="1">
        <v>428.680171</v>
      </c>
      <c r="D45" s="1" t="s">
        <v>196</v>
      </c>
      <c r="E45" s="1" t="s">
        <v>197</v>
      </c>
      <c r="F45" s="1" t="s">
        <v>44</v>
      </c>
      <c r="G45" s="1" t="s">
        <v>45</v>
      </c>
      <c r="H45" s="1">
        <v>8</v>
      </c>
      <c r="I45" s="1">
        <v>64</v>
      </c>
      <c r="J45" s="1">
        <v>63</v>
      </c>
      <c r="K45" s="1">
        <v>98.4375</v>
      </c>
      <c r="L45" s="1">
        <v>18</v>
      </c>
      <c r="M45" s="1">
        <v>28.125</v>
      </c>
      <c r="N45" s="1">
        <v>18</v>
      </c>
      <c r="O45" s="1">
        <v>28.125</v>
      </c>
      <c r="P45" s="1">
        <v>-7.60927777777778</v>
      </c>
      <c r="Q45" s="1">
        <f t="shared" si="1"/>
        <v>-136.967</v>
      </c>
      <c r="R45" s="1">
        <v>-7.6615</v>
      </c>
      <c r="S45" s="1">
        <v>-8.643</v>
      </c>
      <c r="T45" s="1">
        <v>-6.15</v>
      </c>
      <c r="U45" s="1">
        <v>-6.25933333333333</v>
      </c>
      <c r="V45" s="1">
        <v>-6.0625</v>
      </c>
      <c r="W45" s="1">
        <v>-6.72933333333333</v>
      </c>
      <c r="X45" s="1">
        <v>-6.5465</v>
      </c>
      <c r="Y45" s="1">
        <v>0.212357700873676</v>
      </c>
      <c r="Z45" s="1">
        <v>0.186077863896416</v>
      </c>
      <c r="AA45" s="1">
        <v>0.636666666666667</v>
      </c>
      <c r="AB45" s="1">
        <v>0.61</v>
      </c>
      <c r="AC45" s="1">
        <v>0.213280959912296</v>
      </c>
      <c r="AD45" s="1">
        <v>0.197144993516319</v>
      </c>
      <c r="AE45" s="1">
        <v>0.78596714112978</v>
      </c>
      <c r="AF45" s="1">
        <v>0.797576850334974</v>
      </c>
      <c r="AG45" s="1" t="s">
        <v>46</v>
      </c>
      <c r="AH45" s="1">
        <v>0.787196671369427</v>
      </c>
      <c r="AI45" s="1">
        <v>0.810379607047498</v>
      </c>
      <c r="AJ45" s="1">
        <v>0.828434336847953</v>
      </c>
      <c r="AK45" s="1">
        <v>0.803296139569997</v>
      </c>
      <c r="AL45" s="1">
        <v>0.820562208973633</v>
      </c>
      <c r="AM45" s="1">
        <v>0.277721537399321</v>
      </c>
      <c r="AN45" s="1">
        <v>0.693820217000657</v>
      </c>
      <c r="AO45" s="1">
        <v>46</v>
      </c>
    </row>
    <row r="46" s="1" customFormat="1" spans="1:41">
      <c r="A46" s="1" t="s">
        <v>198</v>
      </c>
      <c r="B46" s="1" t="s">
        <v>199</v>
      </c>
      <c r="C46" s="1">
        <v>482.445947</v>
      </c>
      <c r="D46" s="1" t="s">
        <v>200</v>
      </c>
      <c r="E46" s="1" t="s">
        <v>201</v>
      </c>
      <c r="F46" s="1" t="s">
        <v>44</v>
      </c>
      <c r="G46" s="1" t="s">
        <v>45</v>
      </c>
      <c r="H46" s="1">
        <v>8</v>
      </c>
      <c r="I46" s="1">
        <v>64</v>
      </c>
      <c r="J46" s="1">
        <v>62</v>
      </c>
      <c r="K46" s="1">
        <v>96.875</v>
      </c>
      <c r="L46" s="1">
        <v>35</v>
      </c>
      <c r="M46" s="1">
        <v>54.6875</v>
      </c>
      <c r="N46" s="1">
        <v>35</v>
      </c>
      <c r="O46" s="1">
        <v>54.6875</v>
      </c>
      <c r="P46" s="1">
        <v>-6.69325714285714</v>
      </c>
      <c r="Q46" s="1">
        <f t="shared" si="1"/>
        <v>-234.264</v>
      </c>
      <c r="R46" s="1">
        <v>-6.621</v>
      </c>
      <c r="S46" s="1">
        <v>-8.601</v>
      </c>
      <c r="T46" s="1">
        <v>-5.413</v>
      </c>
      <c r="U46" s="1">
        <v>-5.67411428571429</v>
      </c>
      <c r="V46" s="1">
        <v>-5.667</v>
      </c>
      <c r="W46" s="1">
        <v>-6.03085714285714</v>
      </c>
      <c r="X46" s="1">
        <v>-6.202</v>
      </c>
      <c r="Y46" s="1">
        <v>0.394367991644184</v>
      </c>
      <c r="Z46" s="1">
        <v>0.387689291332643</v>
      </c>
      <c r="AA46" s="1">
        <v>0.616451612903226</v>
      </c>
      <c r="AB46" s="1">
        <v>0.62</v>
      </c>
      <c r="AC46" s="1">
        <v>0.268120724977544</v>
      </c>
      <c r="AD46" s="1">
        <v>0.2748867970528</v>
      </c>
      <c r="AE46" s="1">
        <v>0.778214534072789</v>
      </c>
      <c r="AF46" s="1">
        <v>0.818154132476622</v>
      </c>
      <c r="AG46" s="1">
        <v>0.825288903862675</v>
      </c>
      <c r="AH46" s="1">
        <v>0.806313259395224</v>
      </c>
      <c r="AI46" s="1">
        <v>0.813671158021169</v>
      </c>
      <c r="AJ46" s="1">
        <v>0.732562570666071</v>
      </c>
      <c r="AK46" s="1">
        <v>0.799242590381648</v>
      </c>
      <c r="AL46" s="1">
        <v>0.829526138149877</v>
      </c>
      <c r="AM46" s="1">
        <v>0.389971741290897</v>
      </c>
      <c r="AN46" s="1">
        <v>0.687157884765878</v>
      </c>
      <c r="AO46" s="1">
        <v>47</v>
      </c>
    </row>
    <row r="47" s="1" customFormat="1" spans="1:41">
      <c r="A47" s="1" t="s">
        <v>202</v>
      </c>
      <c r="B47" s="1" t="s">
        <v>203</v>
      </c>
      <c r="C47" s="1">
        <v>2077.123041</v>
      </c>
      <c r="D47" s="1" t="s">
        <v>204</v>
      </c>
      <c r="E47" s="1" t="s">
        <v>205</v>
      </c>
      <c r="F47" s="1" t="s">
        <v>44</v>
      </c>
      <c r="G47" s="1" t="s">
        <v>45</v>
      </c>
      <c r="H47" s="1">
        <v>8</v>
      </c>
      <c r="I47" s="1">
        <v>64</v>
      </c>
      <c r="J47" s="1">
        <v>64</v>
      </c>
      <c r="K47" s="1">
        <v>100</v>
      </c>
      <c r="L47" s="1">
        <v>42</v>
      </c>
      <c r="M47" s="1">
        <v>65.625</v>
      </c>
      <c r="N47" s="1">
        <v>42</v>
      </c>
      <c r="O47" s="1">
        <v>65.625</v>
      </c>
      <c r="P47" s="1">
        <v>-8.82583333333333</v>
      </c>
      <c r="Q47" s="1">
        <f t="shared" si="1"/>
        <v>-370.685</v>
      </c>
      <c r="R47" s="1">
        <v>-8.74</v>
      </c>
      <c r="S47" s="1">
        <v>-13.447</v>
      </c>
      <c r="T47" s="1">
        <v>-6.899</v>
      </c>
      <c r="U47" s="1">
        <v>-6.61411904761905</v>
      </c>
      <c r="V47" s="1">
        <v>-6.527</v>
      </c>
      <c r="W47" s="1">
        <v>-6.93957142857143</v>
      </c>
      <c r="X47" s="1">
        <v>-6.808</v>
      </c>
      <c r="Y47" s="1">
        <v>0.17106347354409</v>
      </c>
      <c r="Z47" s="1">
        <v>0.132656506220483</v>
      </c>
      <c r="AA47" s="1">
        <v>0.55015625</v>
      </c>
      <c r="AB47" s="1">
        <v>0.56</v>
      </c>
      <c r="AC47" s="1">
        <v>0.15970387792113</v>
      </c>
      <c r="AD47" s="1">
        <v>0.152181382078101</v>
      </c>
      <c r="AE47" s="1">
        <v>0.748208029144459</v>
      </c>
      <c r="AF47" s="1">
        <v>0.807721287097518</v>
      </c>
      <c r="AG47" s="1">
        <v>0.802433578456085</v>
      </c>
      <c r="AH47" s="1">
        <v>0.778583769603794</v>
      </c>
      <c r="AI47" s="1">
        <v>0.811995991996341</v>
      </c>
      <c r="AJ47" s="1">
        <v>0.766205565155758</v>
      </c>
      <c r="AK47" s="1">
        <v>0.804262310592513</v>
      </c>
      <c r="AL47" s="1">
        <v>0.820129599477425</v>
      </c>
      <c r="AM47" s="1">
        <v>0.243270231476964</v>
      </c>
      <c r="AN47" s="1">
        <v>0.639750874689426</v>
      </c>
      <c r="AO47" s="1">
        <v>52</v>
      </c>
    </row>
    <row r="48" s="1" customFormat="1" spans="1:41">
      <c r="A48" s="1" t="s">
        <v>206</v>
      </c>
      <c r="B48" s="1" t="s">
        <v>207</v>
      </c>
      <c r="C48" s="1">
        <v>749.621236</v>
      </c>
      <c r="D48" s="1" t="s">
        <v>208</v>
      </c>
      <c r="E48" s="1" t="s">
        <v>209</v>
      </c>
      <c r="F48" s="1" t="s">
        <v>44</v>
      </c>
      <c r="G48" s="1" t="s">
        <v>45</v>
      </c>
      <c r="H48" s="1">
        <v>8</v>
      </c>
      <c r="I48" s="1">
        <v>64</v>
      </c>
      <c r="J48" s="1">
        <v>63</v>
      </c>
      <c r="K48" s="1">
        <v>98.4375</v>
      </c>
      <c r="L48" s="1">
        <v>25</v>
      </c>
      <c r="M48" s="1">
        <v>39.0625</v>
      </c>
      <c r="N48" s="1">
        <v>25</v>
      </c>
      <c r="O48" s="1">
        <v>39.0625</v>
      </c>
      <c r="P48" s="1">
        <v>-11.18768</v>
      </c>
      <c r="Q48" s="1">
        <f t="shared" si="1"/>
        <v>-279.692</v>
      </c>
      <c r="R48" s="1">
        <v>-11.237</v>
      </c>
      <c r="S48" s="1">
        <v>-14.533</v>
      </c>
      <c r="T48" s="1">
        <v>-9.162</v>
      </c>
      <c r="U48" s="1">
        <v>-10.60848</v>
      </c>
      <c r="V48" s="1">
        <v>-10.404</v>
      </c>
      <c r="W48" s="1">
        <v>-10.83084</v>
      </c>
      <c r="X48" s="1">
        <v>-10.75</v>
      </c>
      <c r="Y48" s="1">
        <v>0.282898744819535</v>
      </c>
      <c r="Z48" s="1">
        <v>0.253311845646422</v>
      </c>
      <c r="AA48" s="1">
        <v>0.589365079365079</v>
      </c>
      <c r="AB48" s="1">
        <v>0.59</v>
      </c>
      <c r="AC48" s="1">
        <v>0.270788572494567</v>
      </c>
      <c r="AD48" s="1">
        <v>0.282960789708947</v>
      </c>
      <c r="AE48" s="1">
        <v>0.708679759568669</v>
      </c>
      <c r="AF48" s="1">
        <v>0.789316535253665</v>
      </c>
      <c r="AG48" s="1" t="s">
        <v>46</v>
      </c>
      <c r="AH48" s="1">
        <v>0.784817153631755</v>
      </c>
      <c r="AI48" s="1">
        <v>0.817883609064671</v>
      </c>
      <c r="AJ48" s="1" t="s">
        <v>46</v>
      </c>
      <c r="AK48" s="1">
        <v>0.809095905688089</v>
      </c>
      <c r="AL48" s="1">
        <v>0.828202812419503</v>
      </c>
      <c r="AM48" s="1">
        <v>0.25816169480206</v>
      </c>
      <c r="AN48" s="1">
        <v>0.5793263125193</v>
      </c>
      <c r="AO48" s="1">
        <v>49</v>
      </c>
    </row>
    <row r="49" s="1" customFormat="1" spans="1:41">
      <c r="A49" s="1" t="s">
        <v>206</v>
      </c>
      <c r="B49" s="1" t="s">
        <v>210</v>
      </c>
      <c r="C49" s="1">
        <v>641.242792</v>
      </c>
      <c r="D49" s="1" t="s">
        <v>211</v>
      </c>
      <c r="E49" s="1" t="s">
        <v>212</v>
      </c>
      <c r="F49" s="1" t="s">
        <v>44</v>
      </c>
      <c r="G49" s="1" t="s">
        <v>45</v>
      </c>
      <c r="H49" s="1">
        <v>8</v>
      </c>
      <c r="I49" s="1">
        <v>64</v>
      </c>
      <c r="J49" s="1">
        <v>63</v>
      </c>
      <c r="K49" s="1">
        <v>98.4375</v>
      </c>
      <c r="L49" s="1">
        <v>59</v>
      </c>
      <c r="M49" s="1">
        <v>92.1875</v>
      </c>
      <c r="N49" s="1">
        <v>59</v>
      </c>
      <c r="O49" s="1">
        <v>92.1875</v>
      </c>
      <c r="P49" s="1">
        <v>-4.53310169491525</v>
      </c>
      <c r="Q49" s="1">
        <f t="shared" si="1"/>
        <v>-267.453</v>
      </c>
      <c r="R49" s="1">
        <v>-4.437</v>
      </c>
      <c r="S49" s="1">
        <v>-6.399</v>
      </c>
      <c r="T49" s="1">
        <v>-3.524</v>
      </c>
      <c r="U49" s="1">
        <v>-2.73142372881356</v>
      </c>
      <c r="V49" s="1">
        <v>-2.723</v>
      </c>
      <c r="W49" s="1">
        <v>-3.12238983050847</v>
      </c>
      <c r="X49" s="1">
        <v>-3.227</v>
      </c>
      <c r="Y49" s="1">
        <v>0.386356380330611</v>
      </c>
      <c r="Z49" s="1">
        <v>0.39779174825553</v>
      </c>
      <c r="AA49" s="1">
        <v>0.67</v>
      </c>
      <c r="AB49" s="1">
        <v>0.67</v>
      </c>
      <c r="AC49" s="1">
        <v>0.207844698702521</v>
      </c>
      <c r="AD49" s="1">
        <v>0.188388992919465</v>
      </c>
      <c r="AE49" s="1">
        <v>0.794436749557591</v>
      </c>
      <c r="AF49" s="1">
        <v>0.816633888837337</v>
      </c>
      <c r="AG49" s="1" t="s">
        <v>46</v>
      </c>
      <c r="AH49" s="1">
        <v>0.801682566455754</v>
      </c>
      <c r="AI49" s="1">
        <v>0.814075991104774</v>
      </c>
      <c r="AJ49" s="1" t="s">
        <v>46</v>
      </c>
      <c r="AK49" s="1">
        <v>0.789985371135884</v>
      </c>
      <c r="AL49" s="1">
        <v>0.805896645165367</v>
      </c>
      <c r="AM49" s="1">
        <v>0.478738361238178</v>
      </c>
      <c r="AN49" s="1">
        <v>0.723780399249806</v>
      </c>
      <c r="AO49" s="1">
        <v>50</v>
      </c>
    </row>
    <row r="50" s="1" customFormat="1" spans="1:41">
      <c r="A50" s="1" t="s">
        <v>213</v>
      </c>
      <c r="B50" s="1" t="s">
        <v>214</v>
      </c>
      <c r="C50" s="1">
        <v>715.148562</v>
      </c>
      <c r="D50" s="1" t="s">
        <v>215</v>
      </c>
      <c r="E50" s="1" t="s">
        <v>216</v>
      </c>
      <c r="F50" s="1" t="s">
        <v>44</v>
      </c>
      <c r="G50" s="1" t="s">
        <v>45</v>
      </c>
      <c r="H50" s="1">
        <v>8</v>
      </c>
      <c r="I50" s="1">
        <v>64</v>
      </c>
      <c r="J50" s="1">
        <v>64</v>
      </c>
      <c r="K50" s="1">
        <v>100</v>
      </c>
      <c r="L50" s="1">
        <v>25</v>
      </c>
      <c r="M50" s="1">
        <v>39.0625</v>
      </c>
      <c r="N50" s="1">
        <v>25</v>
      </c>
      <c r="O50" s="1">
        <v>39.0625</v>
      </c>
      <c r="P50" s="1">
        <v>-6.92392</v>
      </c>
      <c r="Q50" s="1">
        <f t="shared" si="1"/>
        <v>-173.098</v>
      </c>
      <c r="R50" s="1">
        <v>-6.981</v>
      </c>
      <c r="S50" s="1">
        <v>-8.08</v>
      </c>
      <c r="T50" s="1">
        <v>-5.579</v>
      </c>
      <c r="U50" s="1">
        <v>-5.16208</v>
      </c>
      <c r="V50" s="1">
        <v>-5.117</v>
      </c>
      <c r="W50" s="1">
        <v>-5.33432</v>
      </c>
      <c r="X50" s="1">
        <v>-5.197</v>
      </c>
      <c r="Y50" s="1">
        <v>0.300618718814362</v>
      </c>
      <c r="Z50" s="1">
        <v>0.278853969711693</v>
      </c>
      <c r="AA50" s="1">
        <v>0.566507936507937</v>
      </c>
      <c r="AB50" s="1">
        <v>0.55</v>
      </c>
      <c r="AC50" s="1">
        <v>0.213446183381478</v>
      </c>
      <c r="AD50" s="1">
        <v>0.208945600890994</v>
      </c>
      <c r="AE50" s="1">
        <v>0.743868338434508</v>
      </c>
      <c r="AF50" s="1">
        <v>0.789111692593409</v>
      </c>
      <c r="AG50" s="1">
        <v>0.797367446343257</v>
      </c>
      <c r="AH50" s="1">
        <v>0.794990948947757</v>
      </c>
      <c r="AI50" s="1">
        <v>0.814783321143362</v>
      </c>
      <c r="AJ50" s="1" t="s">
        <v>46</v>
      </c>
      <c r="AK50" s="1">
        <v>0.803363101790739</v>
      </c>
      <c r="AL50" s="1">
        <v>0.8022359992798</v>
      </c>
      <c r="AM50" s="1">
        <v>0.261285619049084</v>
      </c>
      <c r="AN50" s="1">
        <v>0.618232245597145</v>
      </c>
      <c r="AO50" s="1">
        <v>48</v>
      </c>
    </row>
    <row r="51" s="1" customFormat="1" spans="1:41">
      <c r="A51" s="1" t="s">
        <v>217</v>
      </c>
      <c r="B51" s="1" t="s">
        <v>218</v>
      </c>
      <c r="C51" s="1">
        <v>1568.67176</v>
      </c>
      <c r="D51" s="1" t="s">
        <v>219</v>
      </c>
      <c r="E51" s="1" t="s">
        <v>220</v>
      </c>
      <c r="F51" s="1" t="s">
        <v>44</v>
      </c>
      <c r="G51" s="1" t="s">
        <v>45</v>
      </c>
      <c r="H51" s="1">
        <v>8</v>
      </c>
      <c r="I51" s="1">
        <v>64</v>
      </c>
      <c r="J51" s="1">
        <v>64</v>
      </c>
      <c r="K51" s="1">
        <v>100</v>
      </c>
      <c r="L51" s="1">
        <v>26</v>
      </c>
      <c r="M51" s="1">
        <v>40.625</v>
      </c>
      <c r="N51" s="1">
        <v>26</v>
      </c>
      <c r="O51" s="1">
        <v>40.625</v>
      </c>
      <c r="P51" s="1">
        <v>-9.62211538461539</v>
      </c>
      <c r="Q51" s="1">
        <f t="shared" si="1"/>
        <v>-250.175</v>
      </c>
      <c r="R51" s="1">
        <v>-9.551</v>
      </c>
      <c r="S51" s="1">
        <v>-11.782</v>
      </c>
      <c r="T51" s="1">
        <v>-7.454</v>
      </c>
      <c r="U51" s="1">
        <v>-3.17011538461538</v>
      </c>
      <c r="V51" s="1">
        <v>-5.9955</v>
      </c>
      <c r="W51" s="1">
        <v>-6.50911538461538</v>
      </c>
      <c r="X51" s="1">
        <v>-6.914</v>
      </c>
      <c r="Y51" s="1">
        <v>0.146627720486831</v>
      </c>
      <c r="Z51" s="1">
        <v>0.115601068121185</v>
      </c>
      <c r="AA51" s="1">
        <v>0.51328125</v>
      </c>
      <c r="AB51" s="1">
        <v>0.49</v>
      </c>
      <c r="AC51" s="1">
        <v>0.195203245327014</v>
      </c>
      <c r="AD51" s="1">
        <v>0.18027860590164</v>
      </c>
      <c r="AE51" s="1">
        <v>0.704819596513551</v>
      </c>
      <c r="AF51" s="1">
        <v>0.780560750736269</v>
      </c>
      <c r="AG51" s="1">
        <v>0.809731434538599</v>
      </c>
      <c r="AH51" s="1">
        <v>0.79047288087954</v>
      </c>
      <c r="AI51" s="1">
        <v>0.803351420834191</v>
      </c>
      <c r="AJ51" s="1">
        <v>0.792099554176066</v>
      </c>
      <c r="AK51" s="1">
        <v>0.809561942137721</v>
      </c>
      <c r="AL51" s="1">
        <v>0.816560488057122</v>
      </c>
      <c r="AM51" s="1">
        <v>0.262949710374249</v>
      </c>
      <c r="AN51" s="1">
        <v>0.588068793532728</v>
      </c>
      <c r="AO51" s="1">
        <v>53</v>
      </c>
    </row>
    <row r="52" s="1" customFormat="1" spans="1:41">
      <c r="A52" s="1" t="s">
        <v>221</v>
      </c>
      <c r="B52" s="1" t="s">
        <v>222</v>
      </c>
      <c r="C52" s="1">
        <v>1326.142558</v>
      </c>
      <c r="D52" s="1" t="s">
        <v>223</v>
      </c>
      <c r="E52" s="1" t="s">
        <v>224</v>
      </c>
      <c r="F52" s="1" t="s">
        <v>44</v>
      </c>
      <c r="G52" s="1" t="s">
        <v>45</v>
      </c>
      <c r="H52" s="1">
        <v>8</v>
      </c>
      <c r="I52" s="1">
        <v>64</v>
      </c>
      <c r="J52" s="1">
        <v>64</v>
      </c>
      <c r="K52" s="1">
        <v>100</v>
      </c>
      <c r="L52" s="1">
        <v>27</v>
      </c>
      <c r="M52" s="1">
        <v>42.1875</v>
      </c>
      <c r="N52" s="1">
        <v>27</v>
      </c>
      <c r="O52" s="1">
        <v>42.1875</v>
      </c>
      <c r="P52" s="1">
        <v>-9.21948148148148</v>
      </c>
      <c r="Q52" s="1">
        <f t="shared" si="1"/>
        <v>-248.926</v>
      </c>
      <c r="R52" s="1">
        <v>-9.039</v>
      </c>
      <c r="S52" s="1">
        <v>-12.218</v>
      </c>
      <c r="T52" s="1">
        <v>-7.289</v>
      </c>
      <c r="U52" s="1">
        <v>-6.19211111111111</v>
      </c>
      <c r="V52" s="1">
        <v>-6.077</v>
      </c>
      <c r="W52" s="1">
        <v>-6.5587037037037</v>
      </c>
      <c r="X52" s="1">
        <v>-6.382</v>
      </c>
      <c r="Y52" s="1">
        <v>0.214420374302432</v>
      </c>
      <c r="Z52" s="1">
        <v>0.164511421747913</v>
      </c>
      <c r="AA52" s="1">
        <v>0.568125</v>
      </c>
      <c r="AB52" s="1">
        <v>0.575</v>
      </c>
      <c r="AC52" s="1">
        <v>0.205346653475098</v>
      </c>
      <c r="AD52" s="1">
        <v>0.182096436896979</v>
      </c>
      <c r="AE52" s="1">
        <v>0.731854586462276</v>
      </c>
      <c r="AF52" s="1">
        <v>0.797015725410834</v>
      </c>
      <c r="AG52" s="1">
        <v>0.807068211791224</v>
      </c>
      <c r="AH52" s="1">
        <v>0.787387222983952</v>
      </c>
      <c r="AI52" s="1">
        <v>0.805304314504512</v>
      </c>
      <c r="AJ52" s="1">
        <v>0.789057202323259</v>
      </c>
      <c r="AK52" s="1">
        <v>0.817524087590728</v>
      </c>
      <c r="AL52" s="1">
        <v>0.811142340124914</v>
      </c>
      <c r="AM52" s="1">
        <v>0.272455063166169</v>
      </c>
      <c r="AN52" s="1">
        <v>0.599924249657742</v>
      </c>
      <c r="AO52" s="1">
        <v>54</v>
      </c>
    </row>
    <row r="53" s="1" customFormat="1" spans="1:41">
      <c r="A53" s="1" t="s">
        <v>225</v>
      </c>
      <c r="B53" s="1" t="s">
        <v>139</v>
      </c>
      <c r="C53" s="1">
        <v>585.361784</v>
      </c>
      <c r="D53" s="1" t="s">
        <v>226</v>
      </c>
      <c r="E53" s="1" t="s">
        <v>227</v>
      </c>
      <c r="F53" s="1" t="s">
        <v>44</v>
      </c>
      <c r="G53" s="1" t="s">
        <v>45</v>
      </c>
      <c r="H53" s="1">
        <v>8</v>
      </c>
      <c r="I53" s="1">
        <v>64</v>
      </c>
      <c r="J53" s="1">
        <v>63</v>
      </c>
      <c r="K53" s="1">
        <v>98.4375</v>
      </c>
      <c r="L53" s="1">
        <v>54</v>
      </c>
      <c r="M53" s="1">
        <v>84.375</v>
      </c>
      <c r="N53" s="1">
        <v>54</v>
      </c>
      <c r="O53" s="1">
        <v>84.375</v>
      </c>
      <c r="P53" s="1">
        <v>-5.94262962962963</v>
      </c>
      <c r="Q53" s="1">
        <f t="shared" si="1"/>
        <v>-320.902</v>
      </c>
      <c r="R53" s="1">
        <v>-5.427</v>
      </c>
      <c r="S53" s="1">
        <v>-10.938</v>
      </c>
      <c r="T53" s="1">
        <v>-4.569</v>
      </c>
      <c r="U53" s="1">
        <v>-3.35653703703704</v>
      </c>
      <c r="V53" s="1">
        <v>-3.2505</v>
      </c>
      <c r="W53" s="1">
        <v>-4.1095</v>
      </c>
      <c r="X53" s="1">
        <v>-3.6865</v>
      </c>
      <c r="Y53" s="1">
        <v>0.430551685023791</v>
      </c>
      <c r="Z53" s="1">
        <v>0.503343504493649</v>
      </c>
      <c r="AA53" s="1">
        <v>0.681612903225806</v>
      </c>
      <c r="AB53" s="1">
        <v>0.7</v>
      </c>
      <c r="AC53" s="1">
        <v>0.206667240193995</v>
      </c>
      <c r="AD53" s="1">
        <v>0.189306849166418</v>
      </c>
      <c r="AE53" s="1">
        <v>0.783296452403321</v>
      </c>
      <c r="AF53" s="1">
        <v>0.812196883941338</v>
      </c>
      <c r="AG53" s="1">
        <v>0.725772988268851</v>
      </c>
      <c r="AH53" s="1">
        <v>0.808132162189132</v>
      </c>
      <c r="AI53" s="1">
        <v>0.814858551628094</v>
      </c>
      <c r="AJ53" s="1">
        <v>0.774848485581418</v>
      </c>
      <c r="AK53" s="1">
        <v>0.813276344902588</v>
      </c>
      <c r="AL53" s="1">
        <v>0.825715332404086</v>
      </c>
      <c r="AM53" s="1">
        <v>0.496077287687991</v>
      </c>
      <c r="AN53" s="1">
        <v>0.691462963249648</v>
      </c>
      <c r="AO53" s="1">
        <v>55</v>
      </c>
    </row>
    <row r="54" s="1" customFormat="1" spans="1:41">
      <c r="A54" s="1" t="s">
        <v>228</v>
      </c>
      <c r="B54" s="1" t="s">
        <v>229</v>
      </c>
      <c r="C54" s="1">
        <v>583.338495</v>
      </c>
      <c r="D54" s="1" t="s">
        <v>230</v>
      </c>
      <c r="E54" s="1" t="s">
        <v>231</v>
      </c>
      <c r="F54" s="1" t="s">
        <v>44</v>
      </c>
      <c r="G54" s="1" t="s">
        <v>45</v>
      </c>
      <c r="H54" s="1">
        <v>8</v>
      </c>
      <c r="I54" s="1">
        <v>64</v>
      </c>
      <c r="J54" s="1">
        <v>64</v>
      </c>
      <c r="K54" s="1">
        <v>100</v>
      </c>
      <c r="L54" s="1">
        <v>57</v>
      </c>
      <c r="M54" s="1">
        <v>89.0625</v>
      </c>
      <c r="N54" s="1">
        <v>57</v>
      </c>
      <c r="O54" s="1">
        <v>89.0625</v>
      </c>
      <c r="P54" s="1">
        <v>-6.0459298245614</v>
      </c>
      <c r="Q54" s="1">
        <f t="shared" si="1"/>
        <v>-344.618</v>
      </c>
      <c r="R54" s="1">
        <v>-5.374</v>
      </c>
      <c r="S54" s="1">
        <v>-11.626</v>
      </c>
      <c r="T54" s="1">
        <v>-4.124</v>
      </c>
      <c r="U54" s="1">
        <v>-3.12231578947368</v>
      </c>
      <c r="V54" s="1">
        <v>-3.242</v>
      </c>
      <c r="W54" s="1">
        <v>-4.08591228070175</v>
      </c>
      <c r="X54" s="1">
        <v>-3.605</v>
      </c>
      <c r="Y54" s="1">
        <v>0.400867882098069</v>
      </c>
      <c r="Z54" s="1">
        <v>0.39280274559434</v>
      </c>
      <c r="AA54" s="1">
        <v>0.64390625</v>
      </c>
      <c r="AB54" s="1">
        <v>0.61</v>
      </c>
      <c r="AC54" s="1">
        <v>0.238191308382643</v>
      </c>
      <c r="AD54" s="1">
        <v>0.216988426327619</v>
      </c>
      <c r="AE54" s="1">
        <v>0.781390159757779</v>
      </c>
      <c r="AF54" s="1">
        <v>0.812948806676488</v>
      </c>
      <c r="AG54" s="1">
        <v>0.814835005500456</v>
      </c>
      <c r="AH54" s="1">
        <v>0.806094587819895</v>
      </c>
      <c r="AI54" s="1">
        <v>0.810752527049956</v>
      </c>
      <c r="AJ54" s="1">
        <v>0.776841806313471</v>
      </c>
      <c r="AK54" s="1">
        <v>0.813777637404195</v>
      </c>
      <c r="AL54" s="1">
        <v>0.818631118401306</v>
      </c>
      <c r="AM54" s="1">
        <v>0.474191427299764</v>
      </c>
      <c r="AN54" s="1">
        <v>0.688574898188182</v>
      </c>
      <c r="AO54" s="1">
        <v>56</v>
      </c>
    </row>
    <row r="55" s="1" customFormat="1" spans="1:41">
      <c r="A55" s="1" t="s">
        <v>232</v>
      </c>
      <c r="B55" s="1" t="s">
        <v>233</v>
      </c>
      <c r="C55" s="1">
        <v>1610.480846</v>
      </c>
      <c r="D55" s="1" t="s">
        <v>234</v>
      </c>
      <c r="E55" s="1" t="s">
        <v>235</v>
      </c>
      <c r="F55" s="1" t="s">
        <v>44</v>
      </c>
      <c r="G55" s="1" t="s">
        <v>45</v>
      </c>
      <c r="H55" s="1">
        <v>8</v>
      </c>
      <c r="I55" s="1">
        <v>64</v>
      </c>
      <c r="J55" s="1">
        <v>64</v>
      </c>
      <c r="K55" s="1">
        <v>100</v>
      </c>
      <c r="L55" s="1">
        <v>48</v>
      </c>
      <c r="M55" s="1">
        <v>75</v>
      </c>
      <c r="N55" s="1">
        <v>48</v>
      </c>
      <c r="O55" s="1">
        <v>75</v>
      </c>
      <c r="P55" s="1">
        <v>-8.3275</v>
      </c>
      <c r="Q55" s="1">
        <f t="shared" si="1"/>
        <v>-399.72</v>
      </c>
      <c r="R55" s="1">
        <v>-8.3995</v>
      </c>
      <c r="S55" s="1">
        <v>-12.547</v>
      </c>
      <c r="T55" s="1">
        <v>-5.071</v>
      </c>
      <c r="U55" s="1">
        <v>-5.38114583333333</v>
      </c>
      <c r="V55" s="1">
        <v>-5.197</v>
      </c>
      <c r="W55" s="1">
        <v>-5.7523125</v>
      </c>
      <c r="X55" s="1">
        <v>-5.53</v>
      </c>
      <c r="Y55" s="1">
        <v>0.2948214105112</v>
      </c>
      <c r="Z55" s="1">
        <v>0.268922036607125</v>
      </c>
      <c r="AA55" s="1">
        <v>0.58671875</v>
      </c>
      <c r="AB55" s="1">
        <v>0.58</v>
      </c>
      <c r="AC55" s="1">
        <v>0.20427564948677</v>
      </c>
      <c r="AD55" s="1">
        <v>0.192822114132391</v>
      </c>
      <c r="AE55" s="1">
        <v>0.734188132122044</v>
      </c>
      <c r="AF55" s="1">
        <v>0.796322746103535</v>
      </c>
      <c r="AG55" s="1">
        <v>0.804748249826183</v>
      </c>
      <c r="AH55" s="1">
        <v>0.79883907504563</v>
      </c>
      <c r="AI55" s="1">
        <v>0.814758242603747</v>
      </c>
      <c r="AJ55" s="1">
        <v>0.832369562639265</v>
      </c>
      <c r="AK55" s="1">
        <v>0.805480951323146</v>
      </c>
      <c r="AL55" s="1">
        <v>0.824249599806656</v>
      </c>
      <c r="AM55" s="1">
        <v>0.290227969907927</v>
      </c>
      <c r="AN55" s="1">
        <v>0.609637801428463</v>
      </c>
      <c r="AO55" s="1">
        <v>57</v>
      </c>
    </row>
    <row r="56" s="1" customFormat="1" spans="1:41">
      <c r="A56" s="1" t="s">
        <v>236</v>
      </c>
      <c r="B56" s="1" t="s">
        <v>237</v>
      </c>
      <c r="C56" s="1">
        <v>775.443992</v>
      </c>
      <c r="D56" s="1" t="s">
        <v>238</v>
      </c>
      <c r="E56" s="1" t="s">
        <v>239</v>
      </c>
      <c r="F56" s="1" t="s">
        <v>44</v>
      </c>
      <c r="G56" s="1" t="s">
        <v>45</v>
      </c>
      <c r="H56" s="1">
        <v>8</v>
      </c>
      <c r="I56" s="1">
        <v>64</v>
      </c>
      <c r="J56" s="1">
        <v>64</v>
      </c>
      <c r="K56" s="1">
        <v>100</v>
      </c>
      <c r="L56" s="1">
        <v>40</v>
      </c>
      <c r="M56" s="1">
        <v>62.5</v>
      </c>
      <c r="N56" s="1">
        <v>40</v>
      </c>
      <c r="O56" s="1">
        <v>62.5</v>
      </c>
      <c r="P56" s="1">
        <v>-6.203275</v>
      </c>
      <c r="Q56" s="1">
        <f t="shared" si="1"/>
        <v>-248.131</v>
      </c>
      <c r="R56" s="1">
        <v>-6.2565</v>
      </c>
      <c r="S56" s="1">
        <v>-8.379</v>
      </c>
      <c r="T56" s="1">
        <v>-4.082</v>
      </c>
      <c r="U56" s="1">
        <v>36.299425</v>
      </c>
      <c r="V56" s="1">
        <v>42.0355</v>
      </c>
      <c r="W56" s="1">
        <v>5.2833</v>
      </c>
      <c r="X56" s="1">
        <v>2.7065</v>
      </c>
      <c r="Y56" s="1">
        <v>0.37163107140719</v>
      </c>
      <c r="Z56" s="1">
        <v>0.377705177927905</v>
      </c>
      <c r="AA56" s="1">
        <v>0.56609375</v>
      </c>
      <c r="AB56" s="1">
        <v>0.56</v>
      </c>
      <c r="AC56" s="1">
        <v>0.218364762384564</v>
      </c>
      <c r="AD56" s="1">
        <v>0.2087336311793</v>
      </c>
      <c r="AE56" s="1">
        <v>0.765195869423069</v>
      </c>
      <c r="AF56" s="1">
        <v>0.808571434094939</v>
      </c>
      <c r="AG56" s="1">
        <v>0.817079883294513</v>
      </c>
      <c r="AH56" s="1">
        <v>0.787102936065391</v>
      </c>
      <c r="AI56" s="1">
        <v>0.816156749569948</v>
      </c>
      <c r="AJ56" s="1">
        <v>0.780099579055221</v>
      </c>
      <c r="AK56" s="1">
        <v>0.808115287719415</v>
      </c>
      <c r="AL56" s="1">
        <v>0.817666401404582</v>
      </c>
      <c r="AM56" s="1">
        <v>0.319008744227819</v>
      </c>
      <c r="AN56" s="1">
        <v>0.6560400429126</v>
      </c>
      <c r="AO56" s="1">
        <v>58</v>
      </c>
    </row>
    <row r="57" s="1" customFormat="1" spans="1:41">
      <c r="A57" s="1" t="s">
        <v>240</v>
      </c>
      <c r="B57" s="1" t="s">
        <v>241</v>
      </c>
      <c r="C57" s="1">
        <v>833.05612</v>
      </c>
      <c r="D57" s="1" t="s">
        <v>242</v>
      </c>
      <c r="E57" s="1" t="s">
        <v>243</v>
      </c>
      <c r="F57" s="1" t="s">
        <v>44</v>
      </c>
      <c r="G57" s="1" t="s">
        <v>45</v>
      </c>
      <c r="H57" s="1">
        <v>8</v>
      </c>
      <c r="I57" s="1">
        <v>64</v>
      </c>
      <c r="J57" s="1">
        <v>64</v>
      </c>
      <c r="K57" s="1">
        <v>100</v>
      </c>
      <c r="L57" s="1">
        <v>20</v>
      </c>
      <c r="M57" s="1">
        <v>31.25</v>
      </c>
      <c r="N57" s="1">
        <v>20</v>
      </c>
      <c r="O57" s="1">
        <v>31.25</v>
      </c>
      <c r="P57" s="1">
        <v>-10.31415</v>
      </c>
      <c r="Q57" s="1">
        <f t="shared" si="1"/>
        <v>-206.283</v>
      </c>
      <c r="R57" s="1">
        <v>-10.3705</v>
      </c>
      <c r="S57" s="1">
        <v>-12.536</v>
      </c>
      <c r="T57" s="1">
        <v>-6.842</v>
      </c>
      <c r="U57" s="1">
        <v>-6.216</v>
      </c>
      <c r="V57" s="1">
        <v>-9.153</v>
      </c>
      <c r="W57" s="1">
        <v>-9.031</v>
      </c>
      <c r="X57" s="1">
        <v>-9.7755</v>
      </c>
      <c r="Y57" s="1">
        <v>0.170731304603973</v>
      </c>
      <c r="Z57" s="1">
        <v>0.131957819993518</v>
      </c>
      <c r="AA57" s="1">
        <v>0.5540625</v>
      </c>
      <c r="AB57" s="1">
        <v>0.555</v>
      </c>
      <c r="AC57" s="1">
        <v>0.15042003383741</v>
      </c>
      <c r="AD57" s="1">
        <v>0.139355469788163</v>
      </c>
      <c r="AE57" s="1">
        <v>0.763076554325221</v>
      </c>
      <c r="AF57" s="1">
        <v>0.796964253459163</v>
      </c>
      <c r="AG57" s="1">
        <v>0.798160814543627</v>
      </c>
      <c r="AH57" s="1">
        <v>0.768901908702787</v>
      </c>
      <c r="AI57" s="1">
        <v>0.821258070715843</v>
      </c>
      <c r="AJ57" s="1">
        <v>0.804324079011669</v>
      </c>
      <c r="AK57" s="1">
        <v>0.806922086109607</v>
      </c>
      <c r="AL57" s="1">
        <v>0.799103775585936</v>
      </c>
      <c r="AM57" s="1">
        <v>0.258692600342046</v>
      </c>
      <c r="AN57" s="1">
        <v>0.637666698491631</v>
      </c>
      <c r="AO57" s="1">
        <v>59</v>
      </c>
    </row>
    <row r="58" s="1" customFormat="1" spans="1:41">
      <c r="A58" s="1" t="s">
        <v>244</v>
      </c>
      <c r="B58" s="1" t="s">
        <v>245</v>
      </c>
      <c r="C58" s="1">
        <v>2038.111203</v>
      </c>
      <c r="D58" s="1" t="s">
        <v>246</v>
      </c>
      <c r="E58" s="1" t="s">
        <v>247</v>
      </c>
      <c r="F58" s="1" t="s">
        <v>44</v>
      </c>
      <c r="G58" s="1" t="s">
        <v>45</v>
      </c>
      <c r="H58" s="1">
        <v>8</v>
      </c>
      <c r="I58" s="1">
        <v>64</v>
      </c>
      <c r="J58" s="1">
        <v>59</v>
      </c>
      <c r="K58" s="1">
        <v>92.1875</v>
      </c>
      <c r="L58" s="1">
        <v>35</v>
      </c>
      <c r="M58" s="1">
        <v>54.6875</v>
      </c>
      <c r="N58" s="1">
        <v>35</v>
      </c>
      <c r="O58" s="1">
        <v>54.6875</v>
      </c>
      <c r="P58" s="1">
        <v>-9.88768571428572</v>
      </c>
      <c r="Q58" s="1">
        <f t="shared" si="1"/>
        <v>-346.069</v>
      </c>
      <c r="R58" s="1">
        <v>-9.675</v>
      </c>
      <c r="S58" s="1">
        <v>-14.221</v>
      </c>
      <c r="T58" s="1">
        <v>-7.111</v>
      </c>
      <c r="U58" s="1">
        <v>-8.37057142857143</v>
      </c>
      <c r="V58" s="1">
        <v>-8.289</v>
      </c>
      <c r="W58" s="1">
        <v>-8.69831428571428</v>
      </c>
      <c r="X58" s="1">
        <v>-8.431</v>
      </c>
      <c r="Y58" s="1">
        <v>0.105715996452433</v>
      </c>
      <c r="Z58" s="1">
        <v>0.086412397610495</v>
      </c>
      <c r="AA58" s="1">
        <v>0.524067796610169</v>
      </c>
      <c r="AB58" s="1">
        <v>0.52</v>
      </c>
      <c r="AC58" s="1">
        <v>0.143740111406654</v>
      </c>
      <c r="AD58" s="1">
        <v>0.136900367944859</v>
      </c>
      <c r="AE58" s="1">
        <v>0.72419615905844</v>
      </c>
      <c r="AF58" s="1">
        <v>0.800349510483799</v>
      </c>
      <c r="AG58" s="1">
        <v>0.793890780719736</v>
      </c>
      <c r="AH58" s="1">
        <v>0.783220473357587</v>
      </c>
      <c r="AI58" s="1">
        <v>0.804950236403806</v>
      </c>
      <c r="AJ58" s="1">
        <v>0.787489702091043</v>
      </c>
      <c r="AK58" s="1">
        <v>0.792806541792959</v>
      </c>
      <c r="AL58" s="1">
        <v>0.78793030638477</v>
      </c>
      <c r="AM58" s="1">
        <v>0.229577239647598</v>
      </c>
      <c r="AN58" s="1">
        <v>0.592601641233721</v>
      </c>
      <c r="AO58" s="1">
        <v>60</v>
      </c>
    </row>
    <row r="59" s="1" customFormat="1" spans="1:41">
      <c r="A59" s="1" t="s">
        <v>248</v>
      </c>
      <c r="B59" s="1" t="s">
        <v>249</v>
      </c>
      <c r="C59" s="1">
        <v>269.045496</v>
      </c>
      <c r="D59" s="1" t="s">
        <v>250</v>
      </c>
      <c r="E59" s="1" t="s">
        <v>49</v>
      </c>
      <c r="F59" s="1" t="s">
        <v>44</v>
      </c>
      <c r="G59" s="1" t="s">
        <v>45</v>
      </c>
      <c r="H59" s="1">
        <v>8</v>
      </c>
      <c r="I59" s="1">
        <v>64</v>
      </c>
      <c r="J59" s="1">
        <v>64</v>
      </c>
      <c r="K59" s="1">
        <v>100</v>
      </c>
      <c r="L59" s="1">
        <v>30</v>
      </c>
      <c r="M59" s="1">
        <v>46.875</v>
      </c>
      <c r="N59" s="1">
        <v>30</v>
      </c>
      <c r="O59" s="1">
        <v>46.875</v>
      </c>
      <c r="P59" s="1">
        <v>1.31113333333333</v>
      </c>
      <c r="Q59" s="1">
        <f t="shared" si="1"/>
        <v>39.3339999999999</v>
      </c>
      <c r="R59" s="1">
        <v>1.257</v>
      </c>
      <c r="S59" s="1">
        <v>-5.746</v>
      </c>
      <c r="T59" s="1">
        <v>12.531</v>
      </c>
      <c r="U59" s="1">
        <v>64.7108333333333</v>
      </c>
      <c r="V59" s="1">
        <v>89.5605</v>
      </c>
      <c r="W59" s="1">
        <v>25.2103</v>
      </c>
      <c r="X59" s="1">
        <v>12.714</v>
      </c>
      <c r="Y59" s="1">
        <v>0.443573703974599</v>
      </c>
      <c r="Z59" s="1">
        <v>0.470008096856051</v>
      </c>
      <c r="AA59" s="1">
        <v>0.72</v>
      </c>
      <c r="AB59" s="1">
        <v>0.745</v>
      </c>
      <c r="AC59" s="1">
        <v>0.255349425836949</v>
      </c>
      <c r="AD59" s="1">
        <v>0.260685576001006</v>
      </c>
      <c r="AE59" s="1">
        <v>0.780084711344194</v>
      </c>
      <c r="AF59" s="1">
        <v>0.805906336535443</v>
      </c>
      <c r="AG59" s="1">
        <v>0.822277084947341</v>
      </c>
      <c r="AH59" s="1">
        <v>0.821601250516054</v>
      </c>
      <c r="AI59" s="1" t="s">
        <v>46</v>
      </c>
      <c r="AJ59" s="1" t="s">
        <v>46</v>
      </c>
      <c r="AK59" s="1">
        <v>0.803608213891531</v>
      </c>
      <c r="AL59" s="1">
        <v>0.808709163259323</v>
      </c>
      <c r="AM59" s="1">
        <v>0.508321743425863</v>
      </c>
      <c r="AN59" s="1">
        <v>0.677348370098391</v>
      </c>
      <c r="AO59" s="1">
        <v>61</v>
      </c>
    </row>
    <row r="60" s="1" customFormat="1" spans="1:41">
      <c r="A60" s="1" t="s">
        <v>251</v>
      </c>
      <c r="B60" s="1" t="s">
        <v>252</v>
      </c>
      <c r="C60" s="1">
        <v>777.669101</v>
      </c>
      <c r="D60" s="1" t="s">
        <v>253</v>
      </c>
      <c r="E60" s="1" t="s">
        <v>254</v>
      </c>
      <c r="F60" s="1" t="s">
        <v>44</v>
      </c>
      <c r="G60" s="1" t="s">
        <v>45</v>
      </c>
      <c r="H60" s="1">
        <v>8</v>
      </c>
      <c r="I60" s="1">
        <v>64</v>
      </c>
      <c r="J60" s="1">
        <v>64</v>
      </c>
      <c r="K60" s="1">
        <v>100</v>
      </c>
      <c r="L60" s="1">
        <v>42</v>
      </c>
      <c r="M60" s="1">
        <v>65.625</v>
      </c>
      <c r="N60" s="1">
        <v>42</v>
      </c>
      <c r="O60" s="1">
        <v>65.625</v>
      </c>
      <c r="P60" s="1">
        <v>-7.79459523809524</v>
      </c>
      <c r="Q60" s="1">
        <f t="shared" si="1"/>
        <v>-327.373</v>
      </c>
      <c r="R60" s="1">
        <v>-7.7545</v>
      </c>
      <c r="S60" s="1">
        <v>-11.342</v>
      </c>
      <c r="T60" s="1">
        <v>-4.632</v>
      </c>
      <c r="U60" s="1">
        <v>-5.8727380952381</v>
      </c>
      <c r="V60" s="1">
        <v>-5.7835</v>
      </c>
      <c r="W60" s="1">
        <v>-6.39595238095238</v>
      </c>
      <c r="X60" s="1">
        <v>-6.1295</v>
      </c>
      <c r="Y60" s="1">
        <v>0.417342935352118</v>
      </c>
      <c r="Z60" s="1">
        <v>0.371789831655217</v>
      </c>
      <c r="AA60" s="1">
        <v>0.5725</v>
      </c>
      <c r="AB60" s="1">
        <v>0.57</v>
      </c>
      <c r="AC60" s="1">
        <v>0.200243709296043</v>
      </c>
      <c r="AD60" s="1">
        <v>0.186449573357023</v>
      </c>
      <c r="AE60" s="1">
        <v>0.745033372420613</v>
      </c>
      <c r="AF60" s="1">
        <v>0.798667717752768</v>
      </c>
      <c r="AG60" s="1">
        <v>0.793701923404471</v>
      </c>
      <c r="AH60" s="1">
        <v>0.812979558924591</v>
      </c>
      <c r="AI60" s="1">
        <v>0.801242268212627</v>
      </c>
      <c r="AJ60" s="1">
        <v>0.790210708598742</v>
      </c>
      <c r="AK60" s="1">
        <v>0.808456961527388</v>
      </c>
      <c r="AL60" s="1">
        <v>0.817361750263161</v>
      </c>
      <c r="AM60" s="1">
        <v>0.307958500818589</v>
      </c>
      <c r="AN60" s="1">
        <v>0.63674493183266</v>
      </c>
      <c r="AO60" s="1">
        <v>62</v>
      </c>
    </row>
    <row r="61" s="1" customFormat="1" spans="1:41">
      <c r="A61" s="1" t="s">
        <v>255</v>
      </c>
      <c r="B61" s="1" t="s">
        <v>256</v>
      </c>
      <c r="C61" s="1">
        <v>1005.960639</v>
      </c>
      <c r="D61" s="1" t="s">
        <v>257</v>
      </c>
      <c r="E61" s="1" t="s">
        <v>258</v>
      </c>
      <c r="F61" s="1" t="s">
        <v>44</v>
      </c>
      <c r="G61" s="1" t="s">
        <v>45</v>
      </c>
      <c r="H61" s="1">
        <v>8</v>
      </c>
      <c r="I61" s="1">
        <v>64</v>
      </c>
      <c r="J61" s="1">
        <v>62</v>
      </c>
      <c r="K61" s="1">
        <v>96.875</v>
      </c>
      <c r="L61" s="1">
        <v>45</v>
      </c>
      <c r="M61" s="1">
        <v>70.3125</v>
      </c>
      <c r="N61" s="1">
        <v>45</v>
      </c>
      <c r="O61" s="1">
        <v>70.3125</v>
      </c>
      <c r="P61" s="1">
        <v>-6.13877777777778</v>
      </c>
      <c r="Q61" s="1">
        <f t="shared" si="1"/>
        <v>-276.245</v>
      </c>
      <c r="R61" s="1">
        <v>-6.202</v>
      </c>
      <c r="S61" s="1">
        <v>-8.275</v>
      </c>
      <c r="T61" s="1">
        <v>-3.82</v>
      </c>
      <c r="U61" s="1">
        <v>-2.777</v>
      </c>
      <c r="V61" s="1">
        <v>-2.827</v>
      </c>
      <c r="W61" s="1">
        <v>-3.61215555555556</v>
      </c>
      <c r="X61" s="1">
        <v>-3.472</v>
      </c>
      <c r="Y61" s="1">
        <v>0.345460154154943</v>
      </c>
      <c r="Z61" s="1">
        <v>0.343286661911551</v>
      </c>
      <c r="AA61" s="1">
        <v>0.588870967741936</v>
      </c>
      <c r="AB61" s="1">
        <v>0.58</v>
      </c>
      <c r="AC61" s="1">
        <v>0.204301481441019</v>
      </c>
      <c r="AD61" s="1">
        <v>0.185149082918919</v>
      </c>
      <c r="AE61" s="1">
        <v>0.755292364313787</v>
      </c>
      <c r="AF61" s="1">
        <v>0.807376635681688</v>
      </c>
      <c r="AG61" s="1">
        <v>0.820777443547893</v>
      </c>
      <c r="AH61" s="1">
        <v>0.808435529538641</v>
      </c>
      <c r="AI61" s="1">
        <v>0.825265480456809</v>
      </c>
      <c r="AJ61" s="1">
        <v>0.827990898792233</v>
      </c>
      <c r="AK61" s="1">
        <v>0.793786353540696</v>
      </c>
      <c r="AL61" s="1">
        <v>0.800681133678534</v>
      </c>
      <c r="AM61" s="1">
        <v>0.318451807794175</v>
      </c>
      <c r="AN61" s="1" t="s">
        <v>46</v>
      </c>
      <c r="AO61" s="1">
        <v>63</v>
      </c>
    </row>
    <row r="62" s="1" customFormat="1" spans="1:41">
      <c r="A62" s="1" t="s">
        <v>259</v>
      </c>
      <c r="B62" s="1" t="s">
        <v>260</v>
      </c>
      <c r="C62" s="1">
        <v>702.918384</v>
      </c>
      <c r="D62" s="1" t="s">
        <v>261</v>
      </c>
      <c r="E62" s="1" t="s">
        <v>262</v>
      </c>
      <c r="F62" s="1" t="s">
        <v>44</v>
      </c>
      <c r="G62" s="1" t="s">
        <v>45</v>
      </c>
      <c r="H62" s="1">
        <v>8</v>
      </c>
      <c r="I62" s="1">
        <v>64</v>
      </c>
      <c r="J62" s="1">
        <v>63</v>
      </c>
      <c r="K62" s="1">
        <v>98.4375</v>
      </c>
      <c r="L62" s="1">
        <v>51</v>
      </c>
      <c r="M62" s="1">
        <v>79.6875</v>
      </c>
      <c r="N62" s="1">
        <v>51</v>
      </c>
      <c r="O62" s="1">
        <v>79.6875</v>
      </c>
      <c r="P62" s="1">
        <v>-6.59464705882353</v>
      </c>
      <c r="Q62" s="1">
        <f t="shared" si="1"/>
        <v>-336.327</v>
      </c>
      <c r="R62" s="1">
        <v>-6.428</v>
      </c>
      <c r="S62" s="1">
        <v>-9.759</v>
      </c>
      <c r="T62" s="1">
        <v>-5.085</v>
      </c>
      <c r="U62" s="1">
        <v>-4.81962745098039</v>
      </c>
      <c r="V62" s="1">
        <v>-4.75</v>
      </c>
      <c r="W62" s="1">
        <v>-5.33364705882353</v>
      </c>
      <c r="X62" s="1">
        <v>-5.284</v>
      </c>
      <c r="Y62" s="1">
        <v>0.408695297588856</v>
      </c>
      <c r="Z62" s="1">
        <v>0.411311769624368</v>
      </c>
      <c r="AA62" s="1">
        <v>0.646666666666667</v>
      </c>
      <c r="AB62" s="1">
        <v>0.65</v>
      </c>
      <c r="AC62" s="1">
        <v>0.174361647648718</v>
      </c>
      <c r="AD62" s="1">
        <v>0.165532790545386</v>
      </c>
      <c r="AE62" s="1">
        <v>0.763965072317131</v>
      </c>
      <c r="AF62" s="1">
        <v>0.80964157790172</v>
      </c>
      <c r="AG62" s="1">
        <v>0.832017927510035</v>
      </c>
      <c r="AH62" s="1">
        <v>0.80015992693527</v>
      </c>
      <c r="AI62" s="1">
        <v>0.820163429116383</v>
      </c>
      <c r="AJ62" s="1">
        <v>0.832515640213768</v>
      </c>
      <c r="AK62" s="1">
        <v>0.813421408785868</v>
      </c>
      <c r="AL62" s="1">
        <v>0.815092941531221</v>
      </c>
      <c r="AM62" s="1">
        <v>0.394215751117213</v>
      </c>
      <c r="AN62" s="1">
        <v>0.656488981572647</v>
      </c>
      <c r="AO62" s="1">
        <v>64</v>
      </c>
    </row>
    <row r="63" s="1" customFormat="1" spans="1:41">
      <c r="A63" s="1" t="s">
        <v>263</v>
      </c>
      <c r="B63" s="1" t="s">
        <v>264</v>
      </c>
      <c r="C63" s="1">
        <v>791.005914</v>
      </c>
      <c r="D63" s="1" t="s">
        <v>265</v>
      </c>
      <c r="E63" s="1" t="s">
        <v>266</v>
      </c>
      <c r="F63" s="1" t="s">
        <v>44</v>
      </c>
      <c r="G63" s="1" t="s">
        <v>45</v>
      </c>
      <c r="H63" s="1">
        <v>8</v>
      </c>
      <c r="I63" s="1">
        <v>64</v>
      </c>
      <c r="J63" s="1">
        <v>63</v>
      </c>
      <c r="K63" s="1">
        <v>98.4375</v>
      </c>
      <c r="L63" s="1">
        <v>49</v>
      </c>
      <c r="M63" s="1">
        <v>76.5625</v>
      </c>
      <c r="N63" s="1">
        <v>49</v>
      </c>
      <c r="O63" s="1">
        <v>76.5625</v>
      </c>
      <c r="P63" s="1">
        <v>-6.10510204081633</v>
      </c>
      <c r="Q63" s="1">
        <f t="shared" si="1"/>
        <v>-299.15</v>
      </c>
      <c r="R63" s="1">
        <v>-5.665</v>
      </c>
      <c r="S63" s="1">
        <v>-12.841</v>
      </c>
      <c r="T63" s="1">
        <v>-4.256</v>
      </c>
      <c r="U63" s="1">
        <v>-3.59767346938775</v>
      </c>
      <c r="V63" s="1">
        <v>-3.548</v>
      </c>
      <c r="W63" s="1">
        <v>-4.15757142857143</v>
      </c>
      <c r="X63" s="1">
        <v>-3.967</v>
      </c>
      <c r="Y63" s="1">
        <v>0.396804438087477</v>
      </c>
      <c r="Z63" s="1">
        <v>0.410195227741869</v>
      </c>
      <c r="AA63" s="1">
        <v>0.677619047619048</v>
      </c>
      <c r="AB63" s="1">
        <v>0.69</v>
      </c>
      <c r="AC63" s="1">
        <v>0.217148335840515</v>
      </c>
      <c r="AD63" s="1">
        <v>0.24190614713048</v>
      </c>
      <c r="AE63" s="1">
        <v>0.760826533748825</v>
      </c>
      <c r="AF63" s="1">
        <v>0.802622070685977</v>
      </c>
      <c r="AG63" s="1">
        <v>0.813896816678079</v>
      </c>
      <c r="AH63" s="1">
        <v>0.808749079252246</v>
      </c>
      <c r="AI63" s="1">
        <v>0.802203169727737</v>
      </c>
      <c r="AJ63" s="1">
        <v>0.799722443186787</v>
      </c>
      <c r="AK63" s="1">
        <v>0.806347227034065</v>
      </c>
      <c r="AL63" s="1">
        <v>0.817451122519644</v>
      </c>
      <c r="AM63" s="1">
        <v>0.390049356616289</v>
      </c>
      <c r="AN63" s="1">
        <v>0.662334031841663</v>
      </c>
      <c r="AO63" s="1">
        <v>65</v>
      </c>
    </row>
    <row r="64" s="1" customFormat="1" spans="1:41">
      <c r="A64" s="1" t="s">
        <v>267</v>
      </c>
      <c r="B64" s="1" t="s">
        <v>268</v>
      </c>
      <c r="C64" s="1">
        <v>478.581527</v>
      </c>
      <c r="D64" s="1" t="s">
        <v>269</v>
      </c>
      <c r="E64" s="1" t="s">
        <v>270</v>
      </c>
      <c r="F64" s="1" t="s">
        <v>44</v>
      </c>
      <c r="G64" s="1" t="s">
        <v>45</v>
      </c>
      <c r="H64" s="1">
        <v>8</v>
      </c>
      <c r="I64" s="1">
        <v>64</v>
      </c>
      <c r="J64" s="1">
        <v>64</v>
      </c>
      <c r="K64" s="1">
        <v>100</v>
      </c>
      <c r="L64" s="1">
        <v>51</v>
      </c>
      <c r="M64" s="1">
        <v>79.6875</v>
      </c>
      <c r="N64" s="1">
        <v>51</v>
      </c>
      <c r="O64" s="1">
        <v>79.6875</v>
      </c>
      <c r="P64" s="1">
        <v>-5.68756862745098</v>
      </c>
      <c r="Q64" s="1">
        <f t="shared" si="1"/>
        <v>-290.066</v>
      </c>
      <c r="R64" s="1">
        <v>-5.429</v>
      </c>
      <c r="S64" s="1">
        <v>-8.662</v>
      </c>
      <c r="T64" s="1">
        <v>-4.902</v>
      </c>
      <c r="U64" s="1">
        <v>-2.92494117647059</v>
      </c>
      <c r="V64" s="1">
        <v>-3.786</v>
      </c>
      <c r="W64" s="1">
        <v>-4.15494117647059</v>
      </c>
      <c r="X64" s="1">
        <v>-4.267</v>
      </c>
      <c r="Y64" s="1">
        <v>0.470273379289387</v>
      </c>
      <c r="Z64" s="1">
        <v>0.514972767324026</v>
      </c>
      <c r="AA64" s="1">
        <v>0.77625</v>
      </c>
      <c r="AB64" s="1">
        <v>0.81</v>
      </c>
      <c r="AC64" s="1">
        <v>0.269109793402397</v>
      </c>
      <c r="AD64" s="1">
        <v>0.282979476057249</v>
      </c>
      <c r="AE64" s="1">
        <v>0.788861690240698</v>
      </c>
      <c r="AF64" s="1">
        <v>0.808061131428789</v>
      </c>
      <c r="AG64" s="1" t="s">
        <v>46</v>
      </c>
      <c r="AH64" s="1">
        <v>0.805828687541739</v>
      </c>
      <c r="AI64" s="1">
        <v>0.804067322660511</v>
      </c>
      <c r="AJ64" s="1" t="s">
        <v>46</v>
      </c>
      <c r="AK64" s="1">
        <v>0.812908052911854</v>
      </c>
      <c r="AL64" s="1">
        <v>0.81704382719148</v>
      </c>
      <c r="AM64" s="1">
        <v>0.505905851871247</v>
      </c>
      <c r="AN64" s="1">
        <v>0.720145057036512</v>
      </c>
      <c r="AO64" s="1">
        <v>66</v>
      </c>
    </row>
    <row r="65" s="1" customFormat="1" spans="1:41">
      <c r="A65" s="1" t="s">
        <v>271</v>
      </c>
      <c r="B65" s="1" t="s">
        <v>272</v>
      </c>
      <c r="C65" s="1">
        <v>1069.93358</v>
      </c>
      <c r="D65" s="1" t="s">
        <v>273</v>
      </c>
      <c r="E65" s="1" t="s">
        <v>274</v>
      </c>
      <c r="F65" s="1" t="s">
        <v>44</v>
      </c>
      <c r="G65" s="1" t="s">
        <v>45</v>
      </c>
      <c r="H65" s="1">
        <v>8</v>
      </c>
      <c r="I65" s="1">
        <v>64</v>
      </c>
      <c r="J65" s="1">
        <v>64</v>
      </c>
      <c r="K65" s="1">
        <v>100</v>
      </c>
      <c r="L65" s="1">
        <v>44</v>
      </c>
      <c r="M65" s="1">
        <v>68.75</v>
      </c>
      <c r="N65" s="1">
        <v>44</v>
      </c>
      <c r="O65" s="1">
        <v>68.75</v>
      </c>
      <c r="P65" s="1">
        <v>-7.28629545454545</v>
      </c>
      <c r="Q65" s="1">
        <f t="shared" si="1"/>
        <v>-320.597</v>
      </c>
      <c r="R65" s="1">
        <v>-7.519</v>
      </c>
      <c r="S65" s="1">
        <v>-8.724</v>
      </c>
      <c r="T65" s="1">
        <v>-4.896</v>
      </c>
      <c r="U65" s="1">
        <v>-4.17706818181818</v>
      </c>
      <c r="V65" s="1">
        <v>-3.9875</v>
      </c>
      <c r="W65" s="1">
        <v>-4.55693181818182</v>
      </c>
      <c r="X65" s="1">
        <v>-4.2585</v>
      </c>
      <c r="Y65" s="1">
        <v>0.234656134723554</v>
      </c>
      <c r="Z65" s="1">
        <v>0.232987450299199</v>
      </c>
      <c r="AA65" s="1">
        <v>0.591875</v>
      </c>
      <c r="AB65" s="1">
        <v>0.585</v>
      </c>
      <c r="AC65" s="1">
        <v>0.218050279095502</v>
      </c>
      <c r="AD65" s="1">
        <v>0.195648862183688</v>
      </c>
      <c r="AE65" s="1">
        <v>0.752946801243346</v>
      </c>
      <c r="AF65" s="1">
        <v>0.810630297115002</v>
      </c>
      <c r="AG65" s="1" t="s">
        <v>46</v>
      </c>
      <c r="AH65" s="1">
        <v>0.802321726691799</v>
      </c>
      <c r="AI65" s="1">
        <v>0.817875326125547</v>
      </c>
      <c r="AJ65" s="1" t="s">
        <v>46</v>
      </c>
      <c r="AK65" s="1">
        <v>0.811416583143662</v>
      </c>
      <c r="AL65" s="1">
        <v>0.819337993438617</v>
      </c>
      <c r="AM65" s="1">
        <v>0.300886441423624</v>
      </c>
      <c r="AN65" s="1">
        <v>0.652500969333483</v>
      </c>
      <c r="AO65" s="1">
        <v>67</v>
      </c>
    </row>
    <row r="66" s="1" customFormat="1" spans="1:41">
      <c r="A66" s="1" t="s">
        <v>275</v>
      </c>
      <c r="B66" s="1" t="s">
        <v>276</v>
      </c>
      <c r="C66" s="1">
        <v>1089.967847</v>
      </c>
      <c r="D66" s="1" t="s">
        <v>277</v>
      </c>
      <c r="E66" s="1" t="s">
        <v>278</v>
      </c>
      <c r="F66" s="1" t="s">
        <v>44</v>
      </c>
      <c r="G66" s="1" t="s">
        <v>45</v>
      </c>
      <c r="H66" s="1">
        <v>8</v>
      </c>
      <c r="I66" s="1">
        <v>64</v>
      </c>
      <c r="J66" s="1">
        <v>61</v>
      </c>
      <c r="K66" s="1">
        <v>95.3125</v>
      </c>
      <c r="L66" s="1">
        <v>38</v>
      </c>
      <c r="M66" s="1">
        <v>59.375</v>
      </c>
      <c r="N66" s="1">
        <v>38</v>
      </c>
      <c r="O66" s="1">
        <v>59.375</v>
      </c>
      <c r="P66" s="1">
        <v>-9.61134210526316</v>
      </c>
      <c r="Q66" s="1">
        <f t="shared" si="1"/>
        <v>-365.231</v>
      </c>
      <c r="R66" s="1">
        <v>-9.676</v>
      </c>
      <c r="S66" s="1">
        <v>-12.282</v>
      </c>
      <c r="T66" s="1">
        <v>-7.262</v>
      </c>
      <c r="U66" s="1">
        <v>-7.89665789473684</v>
      </c>
      <c r="V66" s="1">
        <v>-8.0655</v>
      </c>
      <c r="W66" s="1">
        <v>-8.1018947368421</v>
      </c>
      <c r="X66" s="1">
        <v>-8.163</v>
      </c>
      <c r="Y66" s="1">
        <v>0.30331221283673</v>
      </c>
      <c r="Z66" s="1">
        <v>0.254200297031548</v>
      </c>
      <c r="AA66" s="1">
        <v>0.541967213114754</v>
      </c>
      <c r="AB66" s="1">
        <v>0.54</v>
      </c>
      <c r="AC66" s="1">
        <v>0.173426450934962</v>
      </c>
      <c r="AD66" s="1">
        <v>0.171637728621496</v>
      </c>
      <c r="AE66" s="1">
        <v>0.736480438916436</v>
      </c>
      <c r="AF66" s="1">
        <v>0.797347917381647</v>
      </c>
      <c r="AG66" s="1">
        <v>0.832411053403517</v>
      </c>
      <c r="AH66" s="1">
        <v>0.782140686426176</v>
      </c>
      <c r="AI66" s="1">
        <v>0.806948693117895</v>
      </c>
      <c r="AJ66" s="1">
        <v>0.823599439961896</v>
      </c>
      <c r="AK66" s="1">
        <v>0.805243264403942</v>
      </c>
      <c r="AL66" s="1">
        <v>0.808851260784007</v>
      </c>
      <c r="AM66" s="1">
        <v>0.258077976834452</v>
      </c>
      <c r="AN66" s="1">
        <v>0.609799928035202</v>
      </c>
      <c r="AO66" s="1">
        <v>68</v>
      </c>
    </row>
    <row r="67" s="1" customFormat="1" spans="1:41">
      <c r="A67" s="1" t="s">
        <v>279</v>
      </c>
      <c r="B67" s="1" t="s">
        <v>280</v>
      </c>
      <c r="C67" s="1">
        <v>347.560838</v>
      </c>
      <c r="D67" s="1" t="s">
        <v>281</v>
      </c>
      <c r="E67" s="1" t="s">
        <v>282</v>
      </c>
      <c r="F67" s="1" t="s">
        <v>44</v>
      </c>
      <c r="G67" s="1" t="s">
        <v>45</v>
      </c>
      <c r="H67" s="1">
        <v>8</v>
      </c>
      <c r="I67" s="1">
        <v>64</v>
      </c>
      <c r="J67" s="1">
        <v>64</v>
      </c>
      <c r="K67" s="1">
        <v>100</v>
      </c>
      <c r="L67" s="1">
        <v>53</v>
      </c>
      <c r="M67" s="1">
        <v>82.8125</v>
      </c>
      <c r="N67" s="1">
        <v>53</v>
      </c>
      <c r="O67" s="1">
        <v>82.8125</v>
      </c>
      <c r="P67" s="1">
        <v>-5.37496226415094</v>
      </c>
      <c r="Q67" s="1">
        <f t="shared" ref="Q67:Q97" si="2">PRODUCT(N67,P67)</f>
        <v>-284.873</v>
      </c>
      <c r="R67" s="1">
        <v>-5.221</v>
      </c>
      <c r="S67" s="1">
        <v>-8.346</v>
      </c>
      <c r="T67" s="1">
        <v>-4.032</v>
      </c>
      <c r="U67" s="1">
        <v>-3.32162264150943</v>
      </c>
      <c r="V67" s="1">
        <v>-3.249</v>
      </c>
      <c r="W67" s="1">
        <v>-3.79283018867925</v>
      </c>
      <c r="X67" s="1">
        <v>-3.761</v>
      </c>
      <c r="Y67" s="1">
        <v>0.466900311843613</v>
      </c>
      <c r="Z67" s="1">
        <v>0.488915751362394</v>
      </c>
      <c r="AA67" s="1">
        <v>0.61953125</v>
      </c>
      <c r="AB67" s="1">
        <v>0.62</v>
      </c>
      <c r="AC67" s="1">
        <v>0.227374074506842</v>
      </c>
      <c r="AD67" s="1">
        <v>0.21921807078677</v>
      </c>
      <c r="AE67" s="1">
        <v>0.784820695271835</v>
      </c>
      <c r="AF67" s="1">
        <v>0.810377159422742</v>
      </c>
      <c r="AG67" s="1">
        <v>0.798522489818435</v>
      </c>
      <c r="AH67" s="1">
        <v>0.805581522395607</v>
      </c>
      <c r="AI67" s="1">
        <v>0.809512655126706</v>
      </c>
      <c r="AJ67" s="1">
        <v>0.832471760575815</v>
      </c>
      <c r="AK67" s="1">
        <v>0.799604305151735</v>
      </c>
      <c r="AL67" s="1">
        <v>0.803662334193857</v>
      </c>
      <c r="AM67" s="1">
        <v>0.515123317129653</v>
      </c>
      <c r="AN67" s="1">
        <v>0.683208750654818</v>
      </c>
      <c r="AO67" s="1">
        <v>69</v>
      </c>
    </row>
    <row r="68" s="1" customFormat="1" spans="1:41">
      <c r="A68" s="1" t="s">
        <v>283</v>
      </c>
      <c r="B68" s="1" t="s">
        <v>284</v>
      </c>
      <c r="C68" s="1">
        <v>1470.604382</v>
      </c>
      <c r="D68" s="1" t="s">
        <v>285</v>
      </c>
      <c r="E68" s="1" t="s">
        <v>286</v>
      </c>
      <c r="F68" s="1" t="s">
        <v>44</v>
      </c>
      <c r="G68" s="1" t="s">
        <v>45</v>
      </c>
      <c r="H68" s="1">
        <v>8</v>
      </c>
      <c r="I68" s="1">
        <v>64</v>
      </c>
      <c r="J68" s="1">
        <v>63</v>
      </c>
      <c r="K68" s="1">
        <v>98.4375</v>
      </c>
      <c r="L68" s="1">
        <v>30</v>
      </c>
      <c r="M68" s="1">
        <v>46.875</v>
      </c>
      <c r="N68" s="1">
        <v>30</v>
      </c>
      <c r="O68" s="1">
        <v>46.875</v>
      </c>
      <c r="P68" s="1">
        <v>-13.4427333333333</v>
      </c>
      <c r="Q68" s="1">
        <f t="shared" si="2"/>
        <v>-403.281999999999</v>
      </c>
      <c r="R68" s="1">
        <v>-13.014</v>
      </c>
      <c r="S68" s="1">
        <v>-18.618</v>
      </c>
      <c r="T68" s="1">
        <v>-10.177</v>
      </c>
      <c r="U68" s="1">
        <v>-7.48483333333333</v>
      </c>
      <c r="V68" s="1">
        <v>-10.915</v>
      </c>
      <c r="W68" s="1">
        <v>-9.93913333333333</v>
      </c>
      <c r="X68" s="1">
        <v>-11.2185</v>
      </c>
      <c r="Y68" s="1">
        <v>0.165670296037071</v>
      </c>
      <c r="Z68" s="1">
        <v>0.136848813202719</v>
      </c>
      <c r="AA68" s="1">
        <v>0.511904761904762</v>
      </c>
      <c r="AB68" s="1">
        <v>0.51</v>
      </c>
      <c r="AC68" s="1">
        <v>0.252815857897395</v>
      </c>
      <c r="AD68" s="1">
        <v>0.242046574565085</v>
      </c>
      <c r="AE68" s="1">
        <v>0.70832991805744</v>
      </c>
      <c r="AF68" s="1">
        <v>0.794324883058448</v>
      </c>
      <c r="AG68" s="1">
        <v>0.798252602816479</v>
      </c>
      <c r="AH68" s="1">
        <v>0.794902285463602</v>
      </c>
      <c r="AI68" s="1">
        <v>0.820587149757537</v>
      </c>
      <c r="AJ68" s="1">
        <v>0.784187857797167</v>
      </c>
      <c r="AK68" s="1">
        <v>0.809533288047695</v>
      </c>
      <c r="AL68" s="1">
        <v>0.797165905142235</v>
      </c>
      <c r="AM68" s="1">
        <v>0.259677922727081</v>
      </c>
      <c r="AN68" s="1">
        <v>0.578168387838236</v>
      </c>
      <c r="AO68" s="1">
        <v>70</v>
      </c>
    </row>
    <row r="69" s="1" customFormat="1" spans="1:41">
      <c r="A69" s="1" t="s">
        <v>287</v>
      </c>
      <c r="B69" s="1" t="s">
        <v>288</v>
      </c>
      <c r="C69" s="1">
        <v>391.573177</v>
      </c>
      <c r="D69" s="1" t="s">
        <v>289</v>
      </c>
      <c r="E69" s="1" t="s">
        <v>290</v>
      </c>
      <c r="F69" s="1" t="s">
        <v>44</v>
      </c>
      <c r="G69" s="1" t="s">
        <v>45</v>
      </c>
      <c r="H69" s="1">
        <v>8</v>
      </c>
      <c r="I69" s="1">
        <v>64</v>
      </c>
      <c r="J69" s="1">
        <v>63</v>
      </c>
      <c r="K69" s="1">
        <v>98.4375</v>
      </c>
      <c r="L69" s="1">
        <v>56</v>
      </c>
      <c r="M69" s="1">
        <v>87.5</v>
      </c>
      <c r="N69" s="1">
        <v>56</v>
      </c>
      <c r="O69" s="1">
        <v>87.5</v>
      </c>
      <c r="P69" s="1">
        <v>-4.36560714285714</v>
      </c>
      <c r="Q69" s="1">
        <f t="shared" si="2"/>
        <v>-244.474</v>
      </c>
      <c r="R69" s="1">
        <v>-4.225</v>
      </c>
      <c r="S69" s="1">
        <v>-6.647</v>
      </c>
      <c r="T69" s="1">
        <v>-3.311</v>
      </c>
      <c r="U69" s="1">
        <v>-1.67723214285714</v>
      </c>
      <c r="V69" s="1">
        <v>-1.583</v>
      </c>
      <c r="W69" s="1">
        <v>-2.41682142857143</v>
      </c>
      <c r="X69" s="1">
        <v>-2.4325</v>
      </c>
      <c r="Y69" s="1">
        <v>0.468713197615302</v>
      </c>
      <c r="Z69" s="1">
        <v>0.500260807398566</v>
      </c>
      <c r="AA69" s="1">
        <v>0.701746031746032</v>
      </c>
      <c r="AB69" s="1">
        <v>0.71</v>
      </c>
      <c r="AC69" s="1">
        <v>0.263739736942435</v>
      </c>
      <c r="AD69" s="1">
        <v>0.260685576001006</v>
      </c>
      <c r="AE69" s="1">
        <v>0.775116139427445</v>
      </c>
      <c r="AF69" s="1">
        <v>0.812852838531336</v>
      </c>
      <c r="AG69" s="1">
        <v>0.790868206717739</v>
      </c>
      <c r="AH69" s="1">
        <v>0.809316096290732</v>
      </c>
      <c r="AI69" s="1">
        <v>0.829516500046364</v>
      </c>
      <c r="AJ69" s="1" t="s">
        <v>46</v>
      </c>
      <c r="AK69" s="1">
        <v>0.802010554832178</v>
      </c>
      <c r="AL69" s="1">
        <v>0.824367958141978</v>
      </c>
      <c r="AM69" s="1">
        <v>0.50512882320675</v>
      </c>
      <c r="AN69" s="1">
        <v>0.700603382406767</v>
      </c>
      <c r="AO69" s="1">
        <v>71</v>
      </c>
    </row>
    <row r="70" s="1" customFormat="1" spans="1:41">
      <c r="A70" s="1" t="s">
        <v>291</v>
      </c>
      <c r="B70" s="1" t="s">
        <v>292</v>
      </c>
      <c r="C70" s="1">
        <v>1884.045626</v>
      </c>
      <c r="D70" s="1" t="s">
        <v>293</v>
      </c>
      <c r="E70" s="1" t="s">
        <v>294</v>
      </c>
      <c r="F70" s="1" t="s">
        <v>44</v>
      </c>
      <c r="G70" s="1" t="s">
        <v>45</v>
      </c>
      <c r="H70" s="1">
        <v>8</v>
      </c>
      <c r="I70" s="1">
        <v>64</v>
      </c>
      <c r="J70" s="1">
        <v>62</v>
      </c>
      <c r="K70" s="1">
        <v>96.875</v>
      </c>
      <c r="L70" s="1">
        <v>32</v>
      </c>
      <c r="M70" s="1">
        <v>50</v>
      </c>
      <c r="N70" s="1">
        <v>32</v>
      </c>
      <c r="O70" s="1">
        <v>50</v>
      </c>
      <c r="P70" s="1">
        <v>-12.8123125</v>
      </c>
      <c r="Q70" s="1">
        <f t="shared" si="2"/>
        <v>-409.994</v>
      </c>
      <c r="R70" s="1">
        <v>-12.816</v>
      </c>
      <c r="S70" s="1">
        <v>-17.428</v>
      </c>
      <c r="T70" s="1">
        <v>-9.452</v>
      </c>
      <c r="U70" s="1">
        <v>-12.66084375</v>
      </c>
      <c r="V70" s="1">
        <v>-12.361</v>
      </c>
      <c r="W70" s="1">
        <v>-12.87384375</v>
      </c>
      <c r="X70" s="1">
        <v>-12.601</v>
      </c>
      <c r="Y70" s="1">
        <v>0.207408481348644</v>
      </c>
      <c r="Z70" s="1">
        <v>0.175057421645707</v>
      </c>
      <c r="AA70" s="1">
        <v>0.466451612903226</v>
      </c>
      <c r="AB70" s="1">
        <v>0.46</v>
      </c>
      <c r="AC70" s="1">
        <v>0.221146520726793</v>
      </c>
      <c r="AD70" s="1">
        <v>0.220771973271696</v>
      </c>
      <c r="AE70" s="1">
        <v>0.719175676869693</v>
      </c>
      <c r="AF70" s="1">
        <v>0.790215892492843</v>
      </c>
      <c r="AG70" s="1">
        <v>0.793085403353137</v>
      </c>
      <c r="AH70" s="1">
        <v>0.792898170070031</v>
      </c>
      <c r="AI70" s="1">
        <v>0.817746327565456</v>
      </c>
      <c r="AJ70" s="1">
        <v>0.832222124056761</v>
      </c>
      <c r="AK70" s="1">
        <v>0.795712270176039</v>
      </c>
      <c r="AL70" s="1">
        <v>0.814085452921007</v>
      </c>
      <c r="AM70" s="1">
        <v>0.253252052026736</v>
      </c>
      <c r="AN70" s="1">
        <v>0.585238339559881</v>
      </c>
      <c r="AO70" s="1">
        <v>72</v>
      </c>
    </row>
    <row r="71" s="1" customFormat="1" spans="1:41">
      <c r="A71" s="1" t="s">
        <v>295</v>
      </c>
      <c r="B71" s="1" t="s">
        <v>296</v>
      </c>
      <c r="C71" s="1">
        <v>767.44111</v>
      </c>
      <c r="D71" s="1" t="s">
        <v>297</v>
      </c>
      <c r="E71" s="1" t="s">
        <v>298</v>
      </c>
      <c r="F71" s="1" t="s">
        <v>44</v>
      </c>
      <c r="G71" s="1" t="s">
        <v>45</v>
      </c>
      <c r="H71" s="1">
        <v>8</v>
      </c>
      <c r="I71" s="1">
        <v>64</v>
      </c>
      <c r="J71" s="1">
        <v>64</v>
      </c>
      <c r="K71" s="1">
        <v>100</v>
      </c>
      <c r="L71" s="1">
        <v>35</v>
      </c>
      <c r="M71" s="1">
        <v>54.6875</v>
      </c>
      <c r="N71" s="1">
        <v>35</v>
      </c>
      <c r="O71" s="1">
        <v>54.6875</v>
      </c>
      <c r="P71" s="1">
        <v>-9.73791428571429</v>
      </c>
      <c r="Q71" s="1">
        <f t="shared" si="2"/>
        <v>-340.827</v>
      </c>
      <c r="R71" s="1">
        <v>-9.639</v>
      </c>
      <c r="S71" s="1">
        <v>-13.91</v>
      </c>
      <c r="T71" s="1">
        <v>-7.487</v>
      </c>
      <c r="U71" s="1">
        <v>-8.2182</v>
      </c>
      <c r="V71" s="1">
        <v>-8.131</v>
      </c>
      <c r="W71" s="1">
        <v>-8.43002857142857</v>
      </c>
      <c r="X71" s="1">
        <v>-8.41</v>
      </c>
      <c r="Y71" s="1">
        <v>0.414496651256746</v>
      </c>
      <c r="Z71" s="1">
        <v>0.401549593824768</v>
      </c>
      <c r="AA71" s="1">
        <v>0.62984375</v>
      </c>
      <c r="AB71" s="1">
        <v>0.615</v>
      </c>
      <c r="AC71" s="1">
        <v>0.240724118028608</v>
      </c>
      <c r="AD71" s="1">
        <v>0.253817835037698</v>
      </c>
      <c r="AE71" s="1">
        <v>0.740389106935521</v>
      </c>
      <c r="AF71" s="1">
        <v>0.805427539464009</v>
      </c>
      <c r="AG71" s="1">
        <v>0.801908248554605</v>
      </c>
      <c r="AH71" s="1">
        <v>0.798844132577794</v>
      </c>
      <c r="AI71" s="1">
        <v>0.816872235531094</v>
      </c>
      <c r="AJ71" s="1">
        <v>0.792236739422715</v>
      </c>
      <c r="AK71" s="1">
        <v>0.809644674728621</v>
      </c>
      <c r="AL71" s="1">
        <v>0.81901811204487</v>
      </c>
      <c r="AM71" s="1">
        <v>0.296371873039659</v>
      </c>
      <c r="AN71" s="1">
        <v>0.627418264343174</v>
      </c>
      <c r="AO71" s="1">
        <v>73</v>
      </c>
    </row>
    <row r="72" s="1" customFormat="1" spans="1:41">
      <c r="A72" s="1" t="s">
        <v>299</v>
      </c>
      <c r="B72" s="1" t="s">
        <v>300</v>
      </c>
      <c r="C72" s="1">
        <v>789.345829</v>
      </c>
      <c r="D72" s="1" t="s">
        <v>301</v>
      </c>
      <c r="E72" s="1" t="s">
        <v>302</v>
      </c>
      <c r="F72" s="1" t="s">
        <v>44</v>
      </c>
      <c r="G72" s="1" t="s">
        <v>45</v>
      </c>
      <c r="H72" s="1">
        <v>8</v>
      </c>
      <c r="I72" s="1">
        <v>64</v>
      </c>
      <c r="J72" s="1">
        <v>64</v>
      </c>
      <c r="K72" s="1">
        <v>100</v>
      </c>
      <c r="L72" s="1">
        <v>55</v>
      </c>
      <c r="M72" s="1">
        <v>85.9375</v>
      </c>
      <c r="N72" s="1">
        <v>55</v>
      </c>
      <c r="O72" s="1">
        <v>85.9375</v>
      </c>
      <c r="P72" s="1">
        <v>-8.56043636363636</v>
      </c>
      <c r="Q72" s="1">
        <f t="shared" si="2"/>
        <v>-470.824</v>
      </c>
      <c r="R72" s="1">
        <v>-8.554</v>
      </c>
      <c r="S72" s="1">
        <v>-11.957</v>
      </c>
      <c r="T72" s="1">
        <v>-4.822</v>
      </c>
      <c r="U72" s="1">
        <v>12.8563818181818</v>
      </c>
      <c r="V72" s="1">
        <v>-4.314</v>
      </c>
      <c r="W72" s="1">
        <v>-5.10216363636364</v>
      </c>
      <c r="X72" s="1">
        <v>-6.45</v>
      </c>
      <c r="Y72" s="1">
        <v>0.442982509639576</v>
      </c>
      <c r="Z72" s="1">
        <v>0.451028203816391</v>
      </c>
      <c r="AA72" s="1">
        <v>0.6675</v>
      </c>
      <c r="AB72" s="1">
        <v>0.61</v>
      </c>
      <c r="AC72" s="1">
        <v>0.285681403948843</v>
      </c>
      <c r="AD72" s="1">
        <v>0.293926244953632</v>
      </c>
      <c r="AE72" s="1">
        <v>0.744564245914408</v>
      </c>
      <c r="AF72" s="1">
        <v>0.797878024689648</v>
      </c>
      <c r="AG72" s="1">
        <v>0.78415785347684</v>
      </c>
      <c r="AH72" s="1">
        <v>0.792282905421196</v>
      </c>
      <c r="AI72" s="1">
        <v>0.81296144022422</v>
      </c>
      <c r="AJ72" s="1">
        <v>0.779507594979644</v>
      </c>
      <c r="AK72" s="1">
        <v>0.820041523605216</v>
      </c>
      <c r="AL72" s="1">
        <v>0.802431325776638</v>
      </c>
      <c r="AM72" s="1">
        <v>0.306749240190841</v>
      </c>
      <c r="AN72" s="1">
        <v>0.613079906635691</v>
      </c>
      <c r="AO72" s="1">
        <v>74</v>
      </c>
    </row>
    <row r="73" s="1" customFormat="1" spans="1:41">
      <c r="A73" s="1" t="s">
        <v>303</v>
      </c>
      <c r="B73" s="1" t="s">
        <v>304</v>
      </c>
      <c r="C73" s="1">
        <v>1204.072065</v>
      </c>
      <c r="D73" s="1" t="s">
        <v>305</v>
      </c>
      <c r="E73" s="1" t="s">
        <v>306</v>
      </c>
      <c r="F73" s="1" t="s">
        <v>44</v>
      </c>
      <c r="G73" s="1" t="s">
        <v>45</v>
      </c>
      <c r="H73" s="1">
        <v>8</v>
      </c>
      <c r="I73" s="1">
        <v>64</v>
      </c>
      <c r="J73" s="1">
        <v>64</v>
      </c>
      <c r="K73" s="1">
        <v>100</v>
      </c>
      <c r="L73" s="1">
        <v>53</v>
      </c>
      <c r="M73" s="1">
        <v>82.8125</v>
      </c>
      <c r="N73" s="1">
        <v>53</v>
      </c>
      <c r="O73" s="1">
        <v>82.8125</v>
      </c>
      <c r="P73" s="1">
        <v>-10.3994150943396</v>
      </c>
      <c r="Q73" s="1">
        <f t="shared" si="2"/>
        <v>-551.168999999999</v>
      </c>
      <c r="R73" s="1">
        <v>-10.455</v>
      </c>
      <c r="S73" s="1">
        <v>-13.579</v>
      </c>
      <c r="T73" s="1">
        <v>-6.892</v>
      </c>
      <c r="U73" s="1">
        <v>-8.35890566037736</v>
      </c>
      <c r="V73" s="1">
        <v>-8.966</v>
      </c>
      <c r="W73" s="1">
        <v>-9.33260377358491</v>
      </c>
      <c r="X73" s="1">
        <v>-9.425</v>
      </c>
      <c r="Y73" s="1">
        <v>0.408761830958876</v>
      </c>
      <c r="Z73" s="1">
        <v>0.395930817536504</v>
      </c>
      <c r="AA73" s="1">
        <v>0.55265625</v>
      </c>
      <c r="AB73" s="1">
        <v>0.54</v>
      </c>
      <c r="AC73" s="1">
        <v>0.202387012133553</v>
      </c>
      <c r="AD73" s="1">
        <v>0.193067865899409</v>
      </c>
      <c r="AE73" s="1">
        <v>0.736419420797839</v>
      </c>
      <c r="AF73" s="1">
        <v>0.799557667258881</v>
      </c>
      <c r="AG73" s="1">
        <v>0.789917925224919</v>
      </c>
      <c r="AH73" s="1">
        <v>0.781987986345631</v>
      </c>
      <c r="AI73" s="1">
        <v>0.807388901189473</v>
      </c>
      <c r="AJ73" s="1">
        <v>0.779538263798679</v>
      </c>
      <c r="AK73" s="1">
        <v>0.805835665937446</v>
      </c>
      <c r="AL73" s="1">
        <v>0.797021127417846</v>
      </c>
      <c r="AM73" s="1">
        <v>0.280310511718425</v>
      </c>
      <c r="AN73" s="1">
        <v>0.606367469271954</v>
      </c>
      <c r="AO73" s="1">
        <v>75</v>
      </c>
    </row>
    <row r="74" s="1" customFormat="1" spans="1:41">
      <c r="A74" s="1" t="s">
        <v>307</v>
      </c>
      <c r="B74" s="1" t="s">
        <v>308</v>
      </c>
      <c r="C74" s="1">
        <v>989.796209</v>
      </c>
      <c r="D74" s="1" t="s">
        <v>309</v>
      </c>
      <c r="E74" s="1" t="s">
        <v>310</v>
      </c>
      <c r="F74" s="1" t="s">
        <v>44</v>
      </c>
      <c r="G74" s="1" t="s">
        <v>45</v>
      </c>
      <c r="H74" s="1">
        <v>8</v>
      </c>
      <c r="I74" s="1">
        <v>64</v>
      </c>
      <c r="J74" s="1">
        <v>63</v>
      </c>
      <c r="K74" s="1">
        <v>98.4375</v>
      </c>
      <c r="L74" s="1">
        <v>44</v>
      </c>
      <c r="M74" s="1">
        <v>68.75</v>
      </c>
      <c r="N74" s="1">
        <v>44</v>
      </c>
      <c r="O74" s="1">
        <v>68.75</v>
      </c>
      <c r="P74" s="1">
        <v>-8.72154545454546</v>
      </c>
      <c r="Q74" s="1">
        <f t="shared" si="2"/>
        <v>-383.748</v>
      </c>
      <c r="R74" s="1">
        <v>-8.699</v>
      </c>
      <c r="S74" s="1">
        <v>-11.108</v>
      </c>
      <c r="T74" s="1">
        <v>-6.084</v>
      </c>
      <c r="U74" s="1">
        <v>-7.60459090909091</v>
      </c>
      <c r="V74" s="1">
        <v>-7.5155</v>
      </c>
      <c r="W74" s="1">
        <v>-7.77684090909091</v>
      </c>
      <c r="X74" s="1">
        <v>-7.865</v>
      </c>
      <c r="Y74" s="1">
        <v>0.400319634212065</v>
      </c>
      <c r="Z74" s="1">
        <v>0.404009752688295</v>
      </c>
      <c r="AA74" s="1">
        <v>0.55984126984127</v>
      </c>
      <c r="AB74" s="1">
        <v>0.52</v>
      </c>
      <c r="AC74" s="1">
        <v>0.227638405915745</v>
      </c>
      <c r="AD74" s="1">
        <v>0.215341582964221</v>
      </c>
      <c r="AE74" s="1">
        <v>0.730180321377901</v>
      </c>
      <c r="AF74" s="1">
        <v>0.791067466574146</v>
      </c>
      <c r="AG74" s="1">
        <v>0.799328397912138</v>
      </c>
      <c r="AH74" s="1">
        <v>0.775596188302898</v>
      </c>
      <c r="AI74" s="1">
        <v>0.809763214762609</v>
      </c>
      <c r="AJ74" s="1">
        <v>0.789410267618746</v>
      </c>
      <c r="AK74" s="1">
        <v>0.792524364647505</v>
      </c>
      <c r="AL74" s="1">
        <v>0.815364259350879</v>
      </c>
      <c r="AM74" s="1">
        <v>0.272584512813915</v>
      </c>
      <c r="AN74" s="1">
        <v>0.596311378658506</v>
      </c>
      <c r="AO74" s="1">
        <v>76</v>
      </c>
    </row>
    <row r="75" s="1" customFormat="1" spans="1:41">
      <c r="A75" s="1" t="s">
        <v>311</v>
      </c>
      <c r="B75" s="1" t="s">
        <v>312</v>
      </c>
      <c r="C75" s="1">
        <v>521.464096</v>
      </c>
      <c r="D75" s="1" t="s">
        <v>313</v>
      </c>
      <c r="E75" s="1" t="s">
        <v>314</v>
      </c>
      <c r="F75" s="1" t="s">
        <v>44</v>
      </c>
      <c r="G75" s="1" t="s">
        <v>45</v>
      </c>
      <c r="H75" s="1">
        <v>8</v>
      </c>
      <c r="I75" s="1">
        <v>64</v>
      </c>
      <c r="J75" s="1">
        <v>63</v>
      </c>
      <c r="K75" s="1">
        <v>98.4375</v>
      </c>
      <c r="L75" s="1">
        <v>59</v>
      </c>
      <c r="M75" s="1">
        <v>92.1875</v>
      </c>
      <c r="N75" s="1">
        <v>59</v>
      </c>
      <c r="O75" s="1">
        <v>92.1875</v>
      </c>
      <c r="P75" s="1">
        <v>-6.18910169491526</v>
      </c>
      <c r="Q75" s="1">
        <f t="shared" si="2"/>
        <v>-365.157</v>
      </c>
      <c r="R75" s="1">
        <v>-5.527</v>
      </c>
      <c r="S75" s="1">
        <v>-12.766</v>
      </c>
      <c r="T75" s="1">
        <v>-4.825</v>
      </c>
      <c r="U75" s="1">
        <v>-3.97776271186441</v>
      </c>
      <c r="V75" s="1">
        <v>-3.768</v>
      </c>
      <c r="W75" s="1">
        <v>-4.79122033898305</v>
      </c>
      <c r="X75" s="1">
        <v>-4.372</v>
      </c>
      <c r="Y75" s="1">
        <v>0.544804081721338</v>
      </c>
      <c r="Z75" s="1">
        <v>0.560158253486491</v>
      </c>
      <c r="AA75" s="1">
        <v>0.724603174603175</v>
      </c>
      <c r="AB75" s="1">
        <v>0.72</v>
      </c>
      <c r="AC75" s="1">
        <v>0.213198822287585</v>
      </c>
      <c r="AD75" s="1">
        <v>0.24190614713048</v>
      </c>
      <c r="AE75" s="1">
        <v>0.783761264264075</v>
      </c>
      <c r="AF75" s="1">
        <v>0.804445483239986</v>
      </c>
      <c r="AG75" s="1">
        <v>0.759817309821661</v>
      </c>
      <c r="AH75" s="1">
        <v>0.796995916686423</v>
      </c>
      <c r="AI75" s="1">
        <v>0.821708826921092</v>
      </c>
      <c r="AJ75" s="1">
        <v>0.787675733840652</v>
      </c>
      <c r="AK75" s="1">
        <v>0.818820431783494</v>
      </c>
      <c r="AL75" s="1">
        <v>0.823202889690299</v>
      </c>
      <c r="AM75" s="1">
        <v>0.488358001077624</v>
      </c>
      <c r="AN75" s="1">
        <v>0.673509036333579</v>
      </c>
      <c r="AO75" s="1">
        <v>77</v>
      </c>
    </row>
    <row r="76" s="1" customFormat="1" spans="1:41">
      <c r="A76" s="1" t="s">
        <v>315</v>
      </c>
      <c r="B76" s="1" t="s">
        <v>316</v>
      </c>
      <c r="C76" s="1">
        <v>677.495624</v>
      </c>
      <c r="D76" s="1" t="s">
        <v>317</v>
      </c>
      <c r="E76" s="1" t="s">
        <v>318</v>
      </c>
      <c r="F76" s="1" t="s">
        <v>44</v>
      </c>
      <c r="G76" s="1" t="s">
        <v>45</v>
      </c>
      <c r="H76" s="1">
        <v>8</v>
      </c>
      <c r="I76" s="1">
        <v>64</v>
      </c>
      <c r="J76" s="1">
        <v>63</v>
      </c>
      <c r="K76" s="1">
        <v>98.4375</v>
      </c>
      <c r="L76" s="1">
        <v>52</v>
      </c>
      <c r="M76" s="1">
        <v>81.25</v>
      </c>
      <c r="N76" s="1">
        <v>52</v>
      </c>
      <c r="O76" s="1">
        <v>81.25</v>
      </c>
      <c r="P76" s="1">
        <v>-5.59907692307692</v>
      </c>
      <c r="Q76" s="1">
        <f t="shared" si="2"/>
        <v>-291.152</v>
      </c>
      <c r="R76" s="1">
        <v>-5.5755</v>
      </c>
      <c r="S76" s="1">
        <v>-8.406</v>
      </c>
      <c r="T76" s="1">
        <v>-4.124</v>
      </c>
      <c r="U76" s="1">
        <v>-2.98753846153846</v>
      </c>
      <c r="V76" s="1">
        <v>-2.9065</v>
      </c>
      <c r="W76" s="1">
        <v>-3.4525</v>
      </c>
      <c r="X76" s="1">
        <v>-3.3985</v>
      </c>
      <c r="Y76" s="1">
        <v>0.466549883325223</v>
      </c>
      <c r="Z76" s="1">
        <v>0.472887068420934</v>
      </c>
      <c r="AA76" s="1">
        <v>0.635714285714286</v>
      </c>
      <c r="AB76" s="1">
        <v>0.63</v>
      </c>
      <c r="AC76" s="1">
        <v>0.20907370659832</v>
      </c>
      <c r="AD76" s="1">
        <v>0.181697964884103</v>
      </c>
      <c r="AE76" s="1">
        <v>0.749229628948505</v>
      </c>
      <c r="AF76" s="1">
        <v>0.798897114238818</v>
      </c>
      <c r="AG76" s="1">
        <v>0.826814735781135</v>
      </c>
      <c r="AH76" s="1">
        <v>0.801525717261872</v>
      </c>
      <c r="AI76" s="1">
        <v>0.824753226093033</v>
      </c>
      <c r="AJ76" s="1">
        <v>0.806442850163325</v>
      </c>
      <c r="AK76" s="1">
        <v>0.814902743126121</v>
      </c>
      <c r="AL76" s="1">
        <v>0.805885116091797</v>
      </c>
      <c r="AM76" s="1">
        <v>0.366260068874006</v>
      </c>
      <c r="AN76" s="1">
        <v>0.645364048103891</v>
      </c>
      <c r="AO76" s="1">
        <v>78</v>
      </c>
    </row>
    <row r="77" s="1" customFormat="1" spans="1:41">
      <c r="A77" s="1" t="s">
        <v>319</v>
      </c>
      <c r="B77" s="1" t="s">
        <v>320</v>
      </c>
      <c r="C77" s="1">
        <v>1293.216109</v>
      </c>
      <c r="D77" s="1" t="s">
        <v>321</v>
      </c>
      <c r="E77" s="1" t="s">
        <v>322</v>
      </c>
      <c r="F77" s="1" t="s">
        <v>44</v>
      </c>
      <c r="G77" s="1" t="s">
        <v>45</v>
      </c>
      <c r="H77" s="1">
        <v>8</v>
      </c>
      <c r="I77" s="1">
        <v>64</v>
      </c>
      <c r="J77" s="1">
        <v>63</v>
      </c>
      <c r="K77" s="1">
        <v>98.4375</v>
      </c>
      <c r="L77" s="1">
        <v>51</v>
      </c>
      <c r="M77" s="1">
        <v>79.6875</v>
      </c>
      <c r="N77" s="1">
        <v>51</v>
      </c>
      <c r="O77" s="1">
        <v>79.6875</v>
      </c>
      <c r="P77" s="1">
        <v>-9.87749019607843</v>
      </c>
      <c r="Q77" s="1">
        <f t="shared" si="2"/>
        <v>-503.752</v>
      </c>
      <c r="R77" s="1">
        <v>-9.953</v>
      </c>
      <c r="S77" s="1">
        <v>-12.691</v>
      </c>
      <c r="T77" s="1">
        <v>-7.031</v>
      </c>
      <c r="U77" s="1">
        <v>-7.99670588235294</v>
      </c>
      <c r="V77" s="1">
        <v>-8.049</v>
      </c>
      <c r="W77" s="1">
        <v>-8.302</v>
      </c>
      <c r="X77" s="1">
        <v>-8.323</v>
      </c>
      <c r="Y77" s="1">
        <v>0.297953048600414</v>
      </c>
      <c r="Z77" s="1">
        <v>0.266892691460358</v>
      </c>
      <c r="AA77" s="1">
        <v>0.552698412698413</v>
      </c>
      <c r="AB77" s="1">
        <v>0.55</v>
      </c>
      <c r="AC77" s="1">
        <v>0.19571384489522</v>
      </c>
      <c r="AD77" s="1">
        <v>0.190556919335148</v>
      </c>
      <c r="AE77" s="1">
        <v>0.745221491287843</v>
      </c>
      <c r="AF77" s="1">
        <v>0.808767196213432</v>
      </c>
      <c r="AG77" s="1">
        <v>0.77900149875025</v>
      </c>
      <c r="AH77" s="1">
        <v>0.77949630336576</v>
      </c>
      <c r="AI77" s="1">
        <v>0.809931851380931</v>
      </c>
      <c r="AJ77" s="1">
        <v>0.79899211096032</v>
      </c>
      <c r="AK77" s="1">
        <v>0.801699022747189</v>
      </c>
      <c r="AL77" s="1">
        <v>0.821281532514916</v>
      </c>
      <c r="AM77" s="1">
        <v>0.252213450307158</v>
      </c>
      <c r="AN77" s="1">
        <v>0.63052099152779</v>
      </c>
      <c r="AO77" s="1">
        <v>79</v>
      </c>
    </row>
    <row r="78" s="1" customFormat="1" spans="1:41">
      <c r="A78" s="1" t="s">
        <v>323</v>
      </c>
      <c r="B78" s="1" t="s">
        <v>324</v>
      </c>
      <c r="C78" s="1">
        <v>1893.487902</v>
      </c>
      <c r="D78" s="1" t="s">
        <v>325</v>
      </c>
      <c r="E78" s="1" t="s">
        <v>326</v>
      </c>
      <c r="F78" s="1" t="s">
        <v>44</v>
      </c>
      <c r="G78" s="1" t="s">
        <v>45</v>
      </c>
      <c r="H78" s="1">
        <v>8</v>
      </c>
      <c r="I78" s="1">
        <v>64</v>
      </c>
      <c r="J78" s="1">
        <v>63</v>
      </c>
      <c r="K78" s="1">
        <v>98.4375</v>
      </c>
      <c r="L78" s="1">
        <v>46</v>
      </c>
      <c r="M78" s="1">
        <v>71.875</v>
      </c>
      <c r="N78" s="1">
        <v>46</v>
      </c>
      <c r="O78" s="1">
        <v>71.875</v>
      </c>
      <c r="P78" s="1">
        <v>-12.2087391304348</v>
      </c>
      <c r="Q78" s="1">
        <f t="shared" si="2"/>
        <v>-561.602000000001</v>
      </c>
      <c r="R78" s="1">
        <v>-12.145</v>
      </c>
      <c r="S78" s="1">
        <v>-16.91</v>
      </c>
      <c r="T78" s="1">
        <v>-8.815</v>
      </c>
      <c r="U78" s="1">
        <v>-10.9671956521739</v>
      </c>
      <c r="V78" s="1">
        <v>-11.028</v>
      </c>
      <c r="W78" s="1">
        <v>-11.1497391304348</v>
      </c>
      <c r="X78" s="1">
        <v>-11.0335</v>
      </c>
      <c r="Y78" s="1">
        <v>0.146155705678678</v>
      </c>
      <c r="Z78" s="1">
        <v>0.13920295245885</v>
      </c>
      <c r="AA78" s="1">
        <v>0.476031746031746</v>
      </c>
      <c r="AB78" s="1">
        <v>0.47</v>
      </c>
      <c r="AC78" s="1">
        <v>0.192746533354216</v>
      </c>
      <c r="AD78" s="1">
        <v>0.178202249093538</v>
      </c>
      <c r="AE78" s="1">
        <v>0.710926149647032</v>
      </c>
      <c r="AF78" s="1">
        <v>0.782171763495551</v>
      </c>
      <c r="AG78" s="1">
        <v>0.829330376075873</v>
      </c>
      <c r="AH78" s="1">
        <v>0.780079704882293</v>
      </c>
      <c r="AI78" s="1">
        <v>0.805535713505393</v>
      </c>
      <c r="AJ78" s="1">
        <v>0.796356076460965</v>
      </c>
      <c r="AK78" s="1">
        <v>0.796868390425313</v>
      </c>
      <c r="AL78" s="1">
        <v>0.813741612637002</v>
      </c>
      <c r="AM78" s="1">
        <v>0.249636013724221</v>
      </c>
      <c r="AN78" s="1">
        <v>0.576089473219169</v>
      </c>
      <c r="AO78" s="1">
        <v>80</v>
      </c>
    </row>
    <row r="79" s="1" customFormat="1" spans="1:41">
      <c r="A79" s="1" t="s">
        <v>327</v>
      </c>
      <c r="B79" s="1" t="s">
        <v>328</v>
      </c>
      <c r="C79" s="1">
        <v>1759.387957</v>
      </c>
      <c r="D79" s="1" t="s">
        <v>329</v>
      </c>
      <c r="E79" s="1" t="s">
        <v>330</v>
      </c>
      <c r="F79" s="1" t="s">
        <v>44</v>
      </c>
      <c r="G79" s="1" t="s">
        <v>45</v>
      </c>
      <c r="H79" s="1">
        <v>8</v>
      </c>
      <c r="I79" s="1">
        <v>64</v>
      </c>
      <c r="J79" s="1">
        <v>64</v>
      </c>
      <c r="K79" s="1">
        <v>100</v>
      </c>
      <c r="L79" s="1">
        <v>35</v>
      </c>
      <c r="M79" s="1">
        <v>54.6875</v>
      </c>
      <c r="N79" s="1">
        <v>35</v>
      </c>
      <c r="O79" s="1">
        <v>54.6875</v>
      </c>
      <c r="P79" s="1">
        <v>-10.4616285714286</v>
      </c>
      <c r="Q79" s="1">
        <f t="shared" si="2"/>
        <v>-366.157000000001</v>
      </c>
      <c r="R79" s="1">
        <v>-10.046</v>
      </c>
      <c r="S79" s="1">
        <v>-15.72</v>
      </c>
      <c r="T79" s="1">
        <v>-8.355</v>
      </c>
      <c r="U79" s="1">
        <v>-8.69694285714286</v>
      </c>
      <c r="V79" s="1">
        <v>-8.097</v>
      </c>
      <c r="W79" s="1">
        <v>-8.88457142857143</v>
      </c>
      <c r="X79" s="1">
        <v>-8.353</v>
      </c>
      <c r="Y79" s="1">
        <v>0.115069216134693</v>
      </c>
      <c r="Z79" s="1">
        <v>0.0935516873602252</v>
      </c>
      <c r="AA79" s="1">
        <v>0.52015873015873</v>
      </c>
      <c r="AB79" s="1">
        <v>0.51</v>
      </c>
      <c r="AC79" s="1">
        <v>0.198021723343458</v>
      </c>
      <c r="AD79" s="1">
        <v>0.199164586212137</v>
      </c>
      <c r="AE79" s="1">
        <v>0.703246905310255</v>
      </c>
      <c r="AF79" s="1">
        <v>0.783916076153134</v>
      </c>
      <c r="AG79" s="1">
        <v>0.825949902385996</v>
      </c>
      <c r="AH79" s="1">
        <v>0.785283636187603</v>
      </c>
      <c r="AI79" s="1">
        <v>0.796024836286284</v>
      </c>
      <c r="AJ79" s="1">
        <v>0.832453442118371</v>
      </c>
      <c r="AK79" s="1">
        <v>0.804641435975943</v>
      </c>
      <c r="AL79" s="1">
        <v>0.810735291790543</v>
      </c>
      <c r="AM79" s="1">
        <v>0.250759407385681</v>
      </c>
      <c r="AN79" s="1">
        <v>0.587330550638674</v>
      </c>
      <c r="AO79" s="1">
        <v>81</v>
      </c>
    </row>
    <row r="80" s="1" customFormat="1" spans="1:41">
      <c r="A80" s="1" t="s">
        <v>331</v>
      </c>
      <c r="B80" s="1" t="s">
        <v>332</v>
      </c>
      <c r="C80" s="1">
        <v>854.811991</v>
      </c>
      <c r="D80" s="1" t="s">
        <v>333</v>
      </c>
      <c r="E80" s="1" t="s">
        <v>334</v>
      </c>
      <c r="F80" s="1" t="s">
        <v>44</v>
      </c>
      <c r="G80" s="1" t="s">
        <v>45</v>
      </c>
      <c r="H80" s="1">
        <v>8</v>
      </c>
      <c r="I80" s="1">
        <v>64</v>
      </c>
      <c r="J80" s="1">
        <v>63</v>
      </c>
      <c r="K80" s="1">
        <v>98.4375</v>
      </c>
      <c r="L80" s="1">
        <v>44</v>
      </c>
      <c r="M80" s="1">
        <v>68.75</v>
      </c>
      <c r="N80" s="1">
        <v>44</v>
      </c>
      <c r="O80" s="1">
        <v>68.75</v>
      </c>
      <c r="P80" s="1">
        <v>-8.23138636363636</v>
      </c>
      <c r="Q80" s="1">
        <f t="shared" si="2"/>
        <v>-362.181</v>
      </c>
      <c r="R80" s="1">
        <v>-8.075</v>
      </c>
      <c r="S80" s="1">
        <v>-11.339</v>
      </c>
      <c r="T80" s="1">
        <v>-6.216</v>
      </c>
      <c r="U80" s="1">
        <v>-6.43556818181818</v>
      </c>
      <c r="V80" s="1">
        <v>-6.2035</v>
      </c>
      <c r="W80" s="1">
        <v>-6.84263636363636</v>
      </c>
      <c r="X80" s="1">
        <v>-6.601</v>
      </c>
      <c r="Y80" s="1">
        <v>0.361088323169189</v>
      </c>
      <c r="Z80" s="1">
        <v>0.344906857102841</v>
      </c>
      <c r="AA80" s="1">
        <v>0.608253968253968</v>
      </c>
      <c r="AB80" s="1">
        <v>0.61</v>
      </c>
      <c r="AC80" s="1">
        <v>0.190421274120719</v>
      </c>
      <c r="AD80" s="1">
        <v>0.198438855796456</v>
      </c>
      <c r="AE80" s="1">
        <v>0.745221543253267</v>
      </c>
      <c r="AF80" s="1">
        <v>0.797410277260786</v>
      </c>
      <c r="AG80" s="1">
        <v>0.810665031330112</v>
      </c>
      <c r="AH80" s="1">
        <v>0.782309455203282</v>
      </c>
      <c r="AI80" s="1">
        <v>0.806519172798308</v>
      </c>
      <c r="AJ80" s="1">
        <v>0.802163347832345</v>
      </c>
      <c r="AK80" s="1">
        <v>0.804740759712903</v>
      </c>
      <c r="AL80" s="1">
        <v>0.820742363819913</v>
      </c>
      <c r="AM80" s="1">
        <v>0.301638009058172</v>
      </c>
      <c r="AN80" s="1">
        <v>0.624066881294338</v>
      </c>
      <c r="AO80" s="1">
        <v>82</v>
      </c>
    </row>
    <row r="81" s="1" customFormat="1" spans="1:41">
      <c r="A81" s="1" t="s">
        <v>335</v>
      </c>
      <c r="B81" s="1" t="s">
        <v>336</v>
      </c>
      <c r="C81" s="1">
        <v>2064.684122</v>
      </c>
      <c r="D81" s="1" t="s">
        <v>337</v>
      </c>
      <c r="E81" s="1" t="s">
        <v>338</v>
      </c>
      <c r="F81" s="1" t="s">
        <v>44</v>
      </c>
      <c r="G81" s="1" t="s">
        <v>45</v>
      </c>
      <c r="H81" s="1">
        <v>8</v>
      </c>
      <c r="I81" s="1">
        <v>64</v>
      </c>
      <c r="J81" s="1">
        <v>63</v>
      </c>
      <c r="K81" s="1">
        <v>98.4375</v>
      </c>
      <c r="L81" s="1">
        <v>40</v>
      </c>
      <c r="M81" s="1">
        <v>62.5</v>
      </c>
      <c r="N81" s="1">
        <v>40</v>
      </c>
      <c r="O81" s="1">
        <v>62.5</v>
      </c>
      <c r="P81" s="1">
        <v>-8.78415</v>
      </c>
      <c r="Q81" s="1">
        <f t="shared" si="2"/>
        <v>-351.366</v>
      </c>
      <c r="R81" s="1">
        <v>-8.658</v>
      </c>
      <c r="S81" s="1">
        <v>-12.376</v>
      </c>
      <c r="T81" s="1">
        <v>-6.741</v>
      </c>
      <c r="U81" s="1">
        <v>-7.331675</v>
      </c>
      <c r="V81" s="1">
        <v>-7.2655</v>
      </c>
      <c r="W81" s="1">
        <v>-7.4699</v>
      </c>
      <c r="X81" s="1">
        <v>-7.255</v>
      </c>
      <c r="Y81" s="1">
        <v>0.120950418073138</v>
      </c>
      <c r="Z81" s="1">
        <v>0.102467473335474</v>
      </c>
      <c r="AA81" s="1">
        <v>0.535873015873016</v>
      </c>
      <c r="AB81" s="1">
        <v>0.52</v>
      </c>
      <c r="AC81" s="1">
        <v>0.158493817611487</v>
      </c>
      <c r="AD81" s="1">
        <v>0.146985241733167</v>
      </c>
      <c r="AE81" s="1">
        <v>0.714366700698693</v>
      </c>
      <c r="AF81" s="1">
        <v>0.790770728479012</v>
      </c>
      <c r="AG81" s="1">
        <v>0.784087075175638</v>
      </c>
      <c r="AH81" s="1">
        <v>0.776848264037827</v>
      </c>
      <c r="AI81" s="1">
        <v>0.808565134331162</v>
      </c>
      <c r="AJ81" s="1">
        <v>0.795742726736159</v>
      </c>
      <c r="AK81" s="1">
        <v>0.800675446907593</v>
      </c>
      <c r="AL81" s="1">
        <v>0.799019517145883</v>
      </c>
      <c r="AM81" s="1">
        <v>0.2660793340844</v>
      </c>
      <c r="AN81" s="1">
        <v>0.575110902607607</v>
      </c>
      <c r="AO81" s="1">
        <v>83</v>
      </c>
    </row>
    <row r="82" s="1" customFormat="1" spans="1:41">
      <c r="A82" s="1" t="s">
        <v>339</v>
      </c>
      <c r="B82" s="1" t="s">
        <v>340</v>
      </c>
      <c r="C82" s="1">
        <v>832.956875</v>
      </c>
      <c r="D82" s="1" t="s">
        <v>341</v>
      </c>
      <c r="E82" s="1" t="s">
        <v>342</v>
      </c>
      <c r="F82" s="1" t="s">
        <v>44</v>
      </c>
      <c r="G82" s="1" t="s">
        <v>45</v>
      </c>
      <c r="H82" s="1">
        <v>8</v>
      </c>
      <c r="I82" s="1">
        <v>64</v>
      </c>
      <c r="J82" s="1">
        <v>63</v>
      </c>
      <c r="K82" s="1">
        <v>98.4375</v>
      </c>
      <c r="L82" s="1">
        <v>42</v>
      </c>
      <c r="M82" s="1">
        <v>65.625</v>
      </c>
      <c r="N82" s="1">
        <v>42</v>
      </c>
      <c r="O82" s="1">
        <v>65.625</v>
      </c>
      <c r="P82" s="1">
        <v>-8.46433333333333</v>
      </c>
      <c r="Q82" s="1">
        <f t="shared" si="2"/>
        <v>-355.502</v>
      </c>
      <c r="R82" s="1">
        <v>-8.4055</v>
      </c>
      <c r="S82" s="1">
        <v>-12.865</v>
      </c>
      <c r="T82" s="1">
        <v>-5.19</v>
      </c>
      <c r="U82" s="1">
        <v>-6.22638095238095</v>
      </c>
      <c r="V82" s="1">
        <v>-5.8205</v>
      </c>
      <c r="W82" s="1">
        <v>-6.62369047619048</v>
      </c>
      <c r="X82" s="1">
        <v>-6.3415</v>
      </c>
      <c r="Y82" s="1">
        <v>0.434497852462898</v>
      </c>
      <c r="Z82" s="1">
        <v>0.454976403306221</v>
      </c>
      <c r="AA82" s="1">
        <v>0.596984126984127</v>
      </c>
      <c r="AB82" s="1">
        <v>0.6</v>
      </c>
      <c r="AC82" s="1">
        <v>0.182141095313408</v>
      </c>
      <c r="AD82" s="1">
        <v>0.176077278343871</v>
      </c>
      <c r="AE82" s="1">
        <v>0.744691476492613</v>
      </c>
      <c r="AF82" s="1">
        <v>0.806617455138866</v>
      </c>
      <c r="AG82" s="1">
        <v>0.782502096741484</v>
      </c>
      <c r="AH82" s="1">
        <v>0.787540157468171</v>
      </c>
      <c r="AI82" s="1">
        <v>0.79950769563478</v>
      </c>
      <c r="AJ82" s="1">
        <v>0.808762015843123</v>
      </c>
      <c r="AK82" s="1">
        <v>0.809714648111441</v>
      </c>
      <c r="AL82" s="1">
        <v>0.807713345636964</v>
      </c>
      <c r="AM82" s="1">
        <v>0.306399308401231</v>
      </c>
      <c r="AN82" s="1">
        <v>0.648390592203059</v>
      </c>
      <c r="AO82" s="1">
        <v>84</v>
      </c>
    </row>
    <row r="83" s="1" customFormat="1" spans="1:41">
      <c r="A83" s="1" t="s">
        <v>343</v>
      </c>
      <c r="B83" s="1" t="s">
        <v>344</v>
      </c>
      <c r="C83" s="1">
        <v>1330.464294</v>
      </c>
      <c r="D83" s="1" t="s">
        <v>345</v>
      </c>
      <c r="E83" s="1" t="s">
        <v>346</v>
      </c>
      <c r="F83" s="1" t="s">
        <v>44</v>
      </c>
      <c r="G83" s="1" t="s">
        <v>45</v>
      </c>
      <c r="H83" s="1">
        <v>8</v>
      </c>
      <c r="I83" s="1">
        <v>64</v>
      </c>
      <c r="J83" s="1">
        <v>64</v>
      </c>
      <c r="K83" s="1">
        <v>100</v>
      </c>
      <c r="L83" s="1">
        <v>52</v>
      </c>
      <c r="M83" s="1">
        <v>81.25</v>
      </c>
      <c r="N83" s="1">
        <v>52</v>
      </c>
      <c r="O83" s="1">
        <v>81.25</v>
      </c>
      <c r="P83" s="1">
        <v>-10.5938461538461</v>
      </c>
      <c r="Q83" s="1">
        <f t="shared" si="2"/>
        <v>-550.879999999997</v>
      </c>
      <c r="R83" s="1">
        <v>-9.855</v>
      </c>
      <c r="S83" s="1">
        <v>-21.335</v>
      </c>
      <c r="T83" s="1">
        <v>-7.424</v>
      </c>
      <c r="U83" s="1">
        <v>-9.73090384615385</v>
      </c>
      <c r="V83" s="1">
        <v>-8.866</v>
      </c>
      <c r="W83" s="1">
        <v>-9.95525</v>
      </c>
      <c r="X83" s="1">
        <v>-9.426</v>
      </c>
      <c r="Y83" s="1">
        <v>0.238861546837597</v>
      </c>
      <c r="Z83" s="1">
        <v>0.242038430002407</v>
      </c>
      <c r="AA83" s="1">
        <v>0.54078125</v>
      </c>
      <c r="AB83" s="1">
        <v>0.555</v>
      </c>
      <c r="AC83" s="1">
        <v>0.211062537969446</v>
      </c>
      <c r="AD83" s="1">
        <v>0.208645164331359</v>
      </c>
      <c r="AE83" s="1">
        <v>0.725922116650042</v>
      </c>
      <c r="AF83" s="1">
        <v>0.801821396848729</v>
      </c>
      <c r="AG83" s="1">
        <v>0.813041185905339</v>
      </c>
      <c r="AH83" s="1">
        <v>0.780176118197439</v>
      </c>
      <c r="AI83" s="1">
        <v>0.814838890839293</v>
      </c>
      <c r="AJ83" s="1">
        <v>0.76456756551739</v>
      </c>
      <c r="AK83" s="1">
        <v>0.807618663477326</v>
      </c>
      <c r="AL83" s="1">
        <v>0.815242229327587</v>
      </c>
      <c r="AM83" s="1">
        <v>0.243256735893918</v>
      </c>
      <c r="AN83" s="1">
        <v>0.601679409665018</v>
      </c>
      <c r="AO83" s="1">
        <v>85</v>
      </c>
    </row>
    <row r="84" s="1" customFormat="1" spans="1:41">
      <c r="A84" s="1" t="s">
        <v>347</v>
      </c>
      <c r="B84" s="1" t="s">
        <v>348</v>
      </c>
      <c r="C84" s="1">
        <v>872.861395</v>
      </c>
      <c r="D84" s="1" t="s">
        <v>349</v>
      </c>
      <c r="E84" s="1" t="s">
        <v>350</v>
      </c>
      <c r="F84" s="1" t="s">
        <v>44</v>
      </c>
      <c r="G84" s="1" t="s">
        <v>45</v>
      </c>
      <c r="H84" s="1">
        <v>8</v>
      </c>
      <c r="I84" s="1">
        <v>64</v>
      </c>
      <c r="J84" s="1">
        <v>64</v>
      </c>
      <c r="K84" s="1">
        <v>100</v>
      </c>
      <c r="L84" s="1">
        <v>52</v>
      </c>
      <c r="M84" s="1">
        <v>81.25</v>
      </c>
      <c r="N84" s="1">
        <v>52</v>
      </c>
      <c r="O84" s="1">
        <v>81.25</v>
      </c>
      <c r="P84" s="1">
        <v>-8.50775</v>
      </c>
      <c r="Q84" s="1">
        <f t="shared" si="2"/>
        <v>-442.403</v>
      </c>
      <c r="R84" s="1">
        <v>-8.54</v>
      </c>
      <c r="S84" s="1">
        <v>-10.918</v>
      </c>
      <c r="T84" s="1">
        <v>-5.499</v>
      </c>
      <c r="U84" s="1">
        <v>-7.1655</v>
      </c>
      <c r="V84" s="1">
        <v>-7.0365</v>
      </c>
      <c r="W84" s="1">
        <v>-7.38238461538462</v>
      </c>
      <c r="X84" s="1">
        <v>-7.5155</v>
      </c>
      <c r="Y84" s="1">
        <v>0.418180629763277</v>
      </c>
      <c r="Z84" s="1">
        <v>0.419507162668925</v>
      </c>
      <c r="AA84" s="1">
        <v>0.6303125</v>
      </c>
      <c r="AB84" s="1">
        <v>0.62</v>
      </c>
      <c r="AC84" s="1">
        <v>0.243025948540069</v>
      </c>
      <c r="AD84" s="1">
        <v>0.248683292104942</v>
      </c>
      <c r="AE84" s="1">
        <v>0.735660521603621</v>
      </c>
      <c r="AF84" s="1">
        <v>0.793079160064191</v>
      </c>
      <c r="AG84" s="1">
        <v>0.783292702263442</v>
      </c>
      <c r="AH84" s="1">
        <v>0.808720251478249</v>
      </c>
      <c r="AI84" s="1">
        <v>0.827863896240104</v>
      </c>
      <c r="AJ84" s="1">
        <v>0.828091666491867</v>
      </c>
      <c r="AK84" s="1">
        <v>0.810560357714732</v>
      </c>
      <c r="AL84" s="1">
        <v>0.82119237184989</v>
      </c>
      <c r="AM84" s="1">
        <v>0.315142059129101</v>
      </c>
      <c r="AN84" s="1">
        <v>0.610639574900693</v>
      </c>
      <c r="AO84" s="1">
        <v>86</v>
      </c>
    </row>
    <row r="85" s="1" customFormat="1" spans="1:41">
      <c r="A85" s="1" t="s">
        <v>351</v>
      </c>
      <c r="B85" s="1" t="s">
        <v>352</v>
      </c>
      <c r="C85" s="1">
        <v>576.830828</v>
      </c>
      <c r="D85" s="1" t="s">
        <v>353</v>
      </c>
      <c r="E85" s="1" t="s">
        <v>354</v>
      </c>
      <c r="F85" s="1" t="s">
        <v>44</v>
      </c>
      <c r="G85" s="1" t="s">
        <v>45</v>
      </c>
      <c r="H85" s="1">
        <v>8</v>
      </c>
      <c r="I85" s="1">
        <v>64</v>
      </c>
      <c r="J85" s="1">
        <v>64</v>
      </c>
      <c r="K85" s="1">
        <v>100</v>
      </c>
      <c r="L85" s="1">
        <v>63</v>
      </c>
      <c r="M85" s="1">
        <v>98.4375</v>
      </c>
      <c r="N85" s="1">
        <v>63</v>
      </c>
      <c r="O85" s="1">
        <v>98.4375</v>
      </c>
      <c r="P85" s="1">
        <v>-6.41336507936508</v>
      </c>
      <c r="Q85" s="1">
        <f t="shared" si="2"/>
        <v>-404.042</v>
      </c>
      <c r="R85" s="1">
        <v>-5.798</v>
      </c>
      <c r="S85" s="1">
        <v>-11.31</v>
      </c>
      <c r="T85" s="1">
        <v>-4.789</v>
      </c>
      <c r="U85" s="1">
        <v>-3.40360317460317</v>
      </c>
      <c r="V85" s="1">
        <v>-4.346</v>
      </c>
      <c r="W85" s="1">
        <v>-4.8612380952381</v>
      </c>
      <c r="X85" s="1">
        <v>-4.728</v>
      </c>
      <c r="Y85" s="1">
        <v>0.41274913334084</v>
      </c>
      <c r="Z85" s="1">
        <v>0.445068468888449</v>
      </c>
      <c r="AA85" s="1">
        <v>0.58359375</v>
      </c>
      <c r="AB85" s="1">
        <v>0.58</v>
      </c>
      <c r="AC85" s="1">
        <v>0.303897047966059</v>
      </c>
      <c r="AD85" s="1">
        <v>0.306924443783393</v>
      </c>
      <c r="AE85" s="1">
        <v>0.788743789910479</v>
      </c>
      <c r="AF85" s="1">
        <v>0.815874654052595</v>
      </c>
      <c r="AG85" s="1">
        <v>0.782257273726029</v>
      </c>
      <c r="AH85" s="1">
        <v>0.777945552872569</v>
      </c>
      <c r="AI85" s="1">
        <v>0.816591627489622</v>
      </c>
      <c r="AJ85" s="1">
        <v>0.798520959094482</v>
      </c>
      <c r="AK85" s="1">
        <v>0.795187424313059</v>
      </c>
      <c r="AL85" s="1">
        <v>0.81423157796128</v>
      </c>
      <c r="AM85" s="1">
        <v>0.486277973518284</v>
      </c>
      <c r="AN85" s="1">
        <v>0.705671410220068</v>
      </c>
      <c r="AO85" s="1">
        <v>87</v>
      </c>
    </row>
    <row r="86" s="1" customFormat="1" spans="1:41">
      <c r="A86" s="1" t="s">
        <v>351</v>
      </c>
      <c r="B86" s="1" t="s">
        <v>355</v>
      </c>
      <c r="C86" s="1">
        <v>882.753986</v>
      </c>
      <c r="D86" s="1" t="s">
        <v>356</v>
      </c>
      <c r="E86" s="1" t="s">
        <v>357</v>
      </c>
      <c r="F86" s="1" t="s">
        <v>44</v>
      </c>
      <c r="G86" s="1" t="s">
        <v>45</v>
      </c>
      <c r="H86" s="1">
        <v>8</v>
      </c>
      <c r="I86" s="1">
        <v>64</v>
      </c>
      <c r="J86" s="1">
        <v>63</v>
      </c>
      <c r="K86" s="1">
        <v>98.4375</v>
      </c>
      <c r="L86" s="1">
        <v>56</v>
      </c>
      <c r="M86" s="1">
        <v>87.5</v>
      </c>
      <c r="N86" s="1">
        <v>56</v>
      </c>
      <c r="O86" s="1">
        <v>87.5</v>
      </c>
      <c r="P86" s="1">
        <v>-7.46919642857143</v>
      </c>
      <c r="Q86" s="1">
        <f t="shared" si="2"/>
        <v>-418.275</v>
      </c>
      <c r="R86" s="1">
        <v>-7.438</v>
      </c>
      <c r="S86" s="1">
        <v>-10.005</v>
      </c>
      <c r="T86" s="1">
        <v>-5.175</v>
      </c>
      <c r="U86" s="1">
        <v>-5.438625</v>
      </c>
      <c r="V86" s="1">
        <v>-5.484</v>
      </c>
      <c r="W86" s="1">
        <v>-5.74616071428571</v>
      </c>
      <c r="X86" s="1">
        <v>-5.698</v>
      </c>
      <c r="Y86" s="1">
        <v>0.328410983783061</v>
      </c>
      <c r="Z86" s="1">
        <v>0.311717525333986</v>
      </c>
      <c r="AA86" s="1">
        <v>0.611111111111111</v>
      </c>
      <c r="AB86" s="1">
        <v>0.6</v>
      </c>
      <c r="AC86" s="1">
        <v>0.204698296051004</v>
      </c>
      <c r="AD86" s="1">
        <v>0.205434265568856</v>
      </c>
      <c r="AE86" s="1">
        <v>0.760403148030721</v>
      </c>
      <c r="AF86" s="1">
        <v>0.810457835276014</v>
      </c>
      <c r="AG86" s="1">
        <v>0.801688729761776</v>
      </c>
      <c r="AH86" s="1">
        <v>0.766267657437192</v>
      </c>
      <c r="AI86" s="1">
        <v>0.804349497331716</v>
      </c>
      <c r="AJ86" s="1">
        <v>0.819566040853965</v>
      </c>
      <c r="AK86" s="1">
        <v>0.806958329288107</v>
      </c>
      <c r="AL86" s="1">
        <v>0.816598992865836</v>
      </c>
      <c r="AM86" s="1">
        <v>0.312752182465671</v>
      </c>
      <c r="AN86" s="1">
        <v>0.657105163147552</v>
      </c>
      <c r="AO86" s="1">
        <v>88</v>
      </c>
    </row>
    <row r="87" s="1" customFormat="1" spans="1:41">
      <c r="A87" s="1" t="s">
        <v>358</v>
      </c>
      <c r="B87" s="1" t="s">
        <v>359</v>
      </c>
      <c r="C87" s="1">
        <v>678.839449</v>
      </c>
      <c r="D87" s="1" t="s">
        <v>360</v>
      </c>
      <c r="E87" s="1" t="s">
        <v>361</v>
      </c>
      <c r="F87" s="1" t="s">
        <v>44</v>
      </c>
      <c r="G87" s="1" t="s">
        <v>45</v>
      </c>
      <c r="H87" s="1">
        <v>8</v>
      </c>
      <c r="I87" s="1">
        <v>64</v>
      </c>
      <c r="J87" s="1">
        <v>63</v>
      </c>
      <c r="K87" s="1">
        <v>98.4375</v>
      </c>
      <c r="L87" s="1">
        <v>50</v>
      </c>
      <c r="M87" s="1">
        <v>78.125</v>
      </c>
      <c r="N87" s="1">
        <v>50</v>
      </c>
      <c r="O87" s="1">
        <v>78.125</v>
      </c>
      <c r="P87" s="1">
        <v>-8.14006</v>
      </c>
      <c r="Q87" s="1">
        <f t="shared" si="2"/>
        <v>-407.003</v>
      </c>
      <c r="R87" s="1">
        <v>-8.3015</v>
      </c>
      <c r="S87" s="1">
        <v>-11.046</v>
      </c>
      <c r="T87" s="1">
        <v>-4.446</v>
      </c>
      <c r="U87" s="1">
        <v>0.13484</v>
      </c>
      <c r="V87" s="1">
        <v>-4.3875</v>
      </c>
      <c r="W87" s="1">
        <v>-6.07964</v>
      </c>
      <c r="X87" s="1">
        <v>-6.0745</v>
      </c>
      <c r="Y87" s="1">
        <v>0.466432294230269</v>
      </c>
      <c r="Z87" s="1">
        <v>0.462483377212063</v>
      </c>
      <c r="AA87" s="1">
        <v>0.592380952380952</v>
      </c>
      <c r="AB87" s="1">
        <v>0.59</v>
      </c>
      <c r="AC87" s="1">
        <v>0.249722819424585</v>
      </c>
      <c r="AD87" s="1">
        <v>0.264352094476835</v>
      </c>
      <c r="AE87" s="1">
        <v>0.750590914257454</v>
      </c>
      <c r="AF87" s="1">
        <v>0.793563585330965</v>
      </c>
      <c r="AG87" s="1">
        <v>0.801365040372527</v>
      </c>
      <c r="AH87" s="1">
        <v>0.795259013119157</v>
      </c>
      <c r="AI87" s="1">
        <v>0.819293822167169</v>
      </c>
      <c r="AJ87" s="1">
        <v>0.784482003951335</v>
      </c>
      <c r="AK87" s="1">
        <v>0.820709181663824</v>
      </c>
      <c r="AL87" s="1">
        <v>0.818115503946953</v>
      </c>
      <c r="AM87" s="1">
        <v>0.309272176780071</v>
      </c>
      <c r="AN87" s="1">
        <v>0.638601471799269</v>
      </c>
      <c r="AO87" s="1">
        <v>89</v>
      </c>
    </row>
    <row r="88" s="1" customFormat="1" spans="1:41">
      <c r="A88" s="1" t="s">
        <v>362</v>
      </c>
      <c r="B88" s="1" t="s">
        <v>363</v>
      </c>
      <c r="C88" s="1">
        <v>400.678204</v>
      </c>
      <c r="D88" s="1" t="s">
        <v>364</v>
      </c>
      <c r="E88" s="1" t="s">
        <v>365</v>
      </c>
      <c r="F88" s="1" t="s">
        <v>44</v>
      </c>
      <c r="G88" s="1" t="s">
        <v>45</v>
      </c>
      <c r="H88" s="1">
        <v>8</v>
      </c>
      <c r="I88" s="1">
        <v>64</v>
      </c>
      <c r="J88" s="1">
        <v>63</v>
      </c>
      <c r="K88" s="1">
        <v>98.4375</v>
      </c>
      <c r="L88" s="1">
        <v>53</v>
      </c>
      <c r="M88" s="1">
        <v>82.8125</v>
      </c>
      <c r="N88" s="1">
        <v>53</v>
      </c>
      <c r="O88" s="1">
        <v>82.8125</v>
      </c>
      <c r="P88" s="1">
        <v>-4.67483018867925</v>
      </c>
      <c r="Q88" s="1">
        <f t="shared" si="2"/>
        <v>-247.766</v>
      </c>
      <c r="R88" s="1">
        <v>-4.569</v>
      </c>
      <c r="S88" s="1">
        <v>-6.539</v>
      </c>
      <c r="T88" s="1">
        <v>-3.902</v>
      </c>
      <c r="U88" s="1">
        <v>-1.97447169811321</v>
      </c>
      <c r="V88" s="1">
        <v>-1.988</v>
      </c>
      <c r="W88" s="1">
        <v>-2.41639622641509</v>
      </c>
      <c r="X88" s="1">
        <v>-2.22</v>
      </c>
      <c r="Y88" s="1">
        <v>0.51922998383023</v>
      </c>
      <c r="Z88" s="1">
        <v>0.542663233109584</v>
      </c>
      <c r="AA88" s="1">
        <v>0.706666666666667</v>
      </c>
      <c r="AB88" s="1">
        <v>0.68</v>
      </c>
      <c r="AC88" s="1">
        <v>0.265790815975541</v>
      </c>
      <c r="AD88" s="1">
        <v>0.271041254830297</v>
      </c>
      <c r="AE88" s="1">
        <v>0.782010835976566</v>
      </c>
      <c r="AF88" s="1">
        <v>0.812221971736074</v>
      </c>
      <c r="AG88" s="1">
        <v>0.788482098152212</v>
      </c>
      <c r="AH88" s="1">
        <v>0.801065101928481</v>
      </c>
      <c r="AI88" s="1">
        <v>0.821634590528728</v>
      </c>
      <c r="AJ88" s="1" t="s">
        <v>46</v>
      </c>
      <c r="AK88" s="1">
        <v>0.809590757997328</v>
      </c>
      <c r="AL88" s="1">
        <v>0.816046294313609</v>
      </c>
      <c r="AM88" s="1">
        <v>0.504013454633559</v>
      </c>
      <c r="AN88" s="1">
        <v>0.687897838675398</v>
      </c>
      <c r="AO88" s="1">
        <v>90</v>
      </c>
    </row>
    <row r="89" s="1" customFormat="1" spans="1:41">
      <c r="A89" s="1" t="s">
        <v>366</v>
      </c>
      <c r="B89" s="1" t="s">
        <v>367</v>
      </c>
      <c r="C89" s="1">
        <v>876.308135</v>
      </c>
      <c r="D89" s="1" t="s">
        <v>368</v>
      </c>
      <c r="E89" s="1" t="s">
        <v>369</v>
      </c>
      <c r="F89" s="1" t="s">
        <v>44</v>
      </c>
      <c r="G89" s="1" t="s">
        <v>45</v>
      </c>
      <c r="H89" s="1">
        <v>8</v>
      </c>
      <c r="I89" s="1">
        <v>64</v>
      </c>
      <c r="J89" s="1">
        <v>63</v>
      </c>
      <c r="K89" s="1">
        <v>98.4375</v>
      </c>
      <c r="L89" s="1">
        <v>44</v>
      </c>
      <c r="M89" s="1">
        <v>68.75</v>
      </c>
      <c r="N89" s="1">
        <v>44</v>
      </c>
      <c r="O89" s="1">
        <v>68.75</v>
      </c>
      <c r="P89" s="1">
        <v>-7.89931818181818</v>
      </c>
      <c r="Q89" s="1">
        <f t="shared" si="2"/>
        <v>-347.57</v>
      </c>
      <c r="R89" s="1">
        <v>-7.8</v>
      </c>
      <c r="S89" s="1">
        <v>-11.209</v>
      </c>
      <c r="T89" s="1">
        <v>-4.416</v>
      </c>
      <c r="U89" s="1">
        <v>-5.38420454545455</v>
      </c>
      <c r="V89" s="1">
        <v>-5.21</v>
      </c>
      <c r="W89" s="1">
        <v>-5.71784090909091</v>
      </c>
      <c r="X89" s="1">
        <v>-5.4325</v>
      </c>
      <c r="Y89" s="1">
        <v>0.39025800320376</v>
      </c>
      <c r="Z89" s="1">
        <v>0.399730363193702</v>
      </c>
      <c r="AA89" s="1">
        <v>0.571746031746032</v>
      </c>
      <c r="AB89" s="1">
        <v>0.58</v>
      </c>
      <c r="AC89" s="1">
        <v>0.209761278309914</v>
      </c>
      <c r="AD89" s="1">
        <v>0.18451015379458</v>
      </c>
      <c r="AE89" s="1">
        <v>0.735075190226676</v>
      </c>
      <c r="AF89" s="1">
        <v>0.807583411690642</v>
      </c>
      <c r="AG89" s="1">
        <v>0.805863812188042</v>
      </c>
      <c r="AH89" s="1">
        <v>0.795706384629156</v>
      </c>
      <c r="AI89" s="1">
        <v>0.814454520287429</v>
      </c>
      <c r="AJ89" s="1">
        <v>0.831534176263913</v>
      </c>
      <c r="AK89" s="1">
        <v>0.807738794140045</v>
      </c>
      <c r="AL89" s="1">
        <v>0.813734701224307</v>
      </c>
      <c r="AM89" s="1">
        <v>0.308524309274153</v>
      </c>
      <c r="AN89" s="1" t="s">
        <v>46</v>
      </c>
      <c r="AO89" s="1">
        <v>91</v>
      </c>
    </row>
    <row r="90" s="1" customFormat="1" spans="1:41">
      <c r="A90" s="1" t="s">
        <v>370</v>
      </c>
      <c r="B90" s="1" t="s">
        <v>371</v>
      </c>
      <c r="C90" s="1">
        <v>1574.385464</v>
      </c>
      <c r="D90" s="1" t="s">
        <v>372</v>
      </c>
      <c r="E90" s="1" t="s">
        <v>373</v>
      </c>
      <c r="F90" s="1" t="s">
        <v>44</v>
      </c>
      <c r="G90" s="1" t="s">
        <v>45</v>
      </c>
      <c r="H90" s="1">
        <v>8</v>
      </c>
      <c r="I90" s="1">
        <v>64</v>
      </c>
      <c r="J90" s="1">
        <v>63</v>
      </c>
      <c r="K90" s="1">
        <v>98.4375</v>
      </c>
      <c r="L90" s="1">
        <v>47</v>
      </c>
      <c r="M90" s="1">
        <v>73.4375</v>
      </c>
      <c r="N90" s="1">
        <v>47</v>
      </c>
      <c r="O90" s="1">
        <v>73.4375</v>
      </c>
      <c r="P90" s="1">
        <v>-10.0220638297872</v>
      </c>
      <c r="Q90" s="1">
        <f t="shared" si="2"/>
        <v>-471.036999999998</v>
      </c>
      <c r="R90" s="1">
        <v>-10.163</v>
      </c>
      <c r="S90" s="1">
        <v>-13.253</v>
      </c>
      <c r="T90" s="1">
        <v>-7.054</v>
      </c>
      <c r="U90" s="1">
        <v>-7.92717021276596</v>
      </c>
      <c r="V90" s="1">
        <v>-7.551</v>
      </c>
      <c r="W90" s="1">
        <v>-8.22368085106383</v>
      </c>
      <c r="X90" s="1">
        <v>-8.059</v>
      </c>
      <c r="Y90" s="1">
        <v>0.146793484781461</v>
      </c>
      <c r="Z90" s="1">
        <v>0.124867225944289</v>
      </c>
      <c r="AA90" s="1">
        <v>0.488253968253968</v>
      </c>
      <c r="AB90" s="1">
        <v>0.48</v>
      </c>
      <c r="AC90" s="1">
        <v>0.198385623075307</v>
      </c>
      <c r="AD90" s="1">
        <v>0.196998846724458</v>
      </c>
      <c r="AE90" s="1">
        <v>0.721700326104887</v>
      </c>
      <c r="AF90" s="1">
        <v>0.78559896078641</v>
      </c>
      <c r="AG90" s="1">
        <v>0.79516070251937</v>
      </c>
      <c r="AH90" s="1">
        <v>0.763556745010061</v>
      </c>
      <c r="AI90" s="1">
        <v>0.807618692308412</v>
      </c>
      <c r="AJ90" s="1">
        <v>0.806120343299945</v>
      </c>
      <c r="AK90" s="1">
        <v>0.795913974118045</v>
      </c>
      <c r="AL90" s="1">
        <v>0.802747833674595</v>
      </c>
      <c r="AM90" s="1">
        <v>0.265911207001051</v>
      </c>
      <c r="AN90" s="1">
        <v>0.586526392648348</v>
      </c>
      <c r="AO90" s="1">
        <v>92</v>
      </c>
    </row>
    <row r="91" s="1" customFormat="1" spans="1:41">
      <c r="A91" s="1" t="s">
        <v>374</v>
      </c>
      <c r="B91" s="1" t="s">
        <v>375</v>
      </c>
      <c r="C91" s="1">
        <v>817.668511</v>
      </c>
      <c r="D91" s="1" t="s">
        <v>376</v>
      </c>
      <c r="E91" s="1" t="s">
        <v>377</v>
      </c>
      <c r="F91" s="1" t="s">
        <v>44</v>
      </c>
      <c r="G91" s="1" t="s">
        <v>45</v>
      </c>
      <c r="H91" s="1">
        <v>8</v>
      </c>
      <c r="I91" s="1">
        <v>64</v>
      </c>
      <c r="J91" s="1">
        <v>63</v>
      </c>
      <c r="K91" s="1">
        <v>98.4375</v>
      </c>
      <c r="L91" s="1">
        <v>22</v>
      </c>
      <c r="M91" s="1">
        <v>34.375</v>
      </c>
      <c r="N91" s="1">
        <v>22</v>
      </c>
      <c r="O91" s="1">
        <v>34.375</v>
      </c>
      <c r="P91" s="1">
        <v>-8.39877272727273</v>
      </c>
      <c r="Q91" s="1">
        <f t="shared" si="2"/>
        <v>-184.773</v>
      </c>
      <c r="R91" s="1">
        <v>-8.293</v>
      </c>
      <c r="S91" s="1">
        <v>-10.429</v>
      </c>
      <c r="T91" s="1">
        <v>-6.864</v>
      </c>
      <c r="U91" s="1">
        <v>-6.04690909090909</v>
      </c>
      <c r="V91" s="1">
        <v>-5.9935</v>
      </c>
      <c r="W91" s="1">
        <v>-6.27831818181818</v>
      </c>
      <c r="X91" s="1">
        <v>-6.228</v>
      </c>
      <c r="Y91" s="1">
        <v>0.199807753345867</v>
      </c>
      <c r="Z91" s="1">
        <v>0.172888566878829</v>
      </c>
      <c r="AA91" s="1">
        <v>0.602063492063492</v>
      </c>
      <c r="AB91" s="1">
        <v>0.61</v>
      </c>
      <c r="AC91" s="1">
        <v>0.254618986081915</v>
      </c>
      <c r="AD91" s="1">
        <v>0.255422700188343</v>
      </c>
      <c r="AE91" s="1">
        <v>0.753002078617524</v>
      </c>
      <c r="AF91" s="1">
        <v>0.804268107263315</v>
      </c>
      <c r="AG91" s="1">
        <v>0.824597370272668</v>
      </c>
      <c r="AH91" s="1">
        <v>0.799126895341724</v>
      </c>
      <c r="AI91" s="1">
        <v>0.828773454437183</v>
      </c>
      <c r="AJ91" s="1" t="s">
        <v>46</v>
      </c>
      <c r="AK91" s="1">
        <v>0.803981674286013</v>
      </c>
      <c r="AL91" s="1">
        <v>0.818676681798371</v>
      </c>
      <c r="AM91" s="1">
        <v>0.276980251403407</v>
      </c>
      <c r="AN91" s="1">
        <v>0.647216577832413</v>
      </c>
      <c r="AO91" s="1">
        <v>93</v>
      </c>
    </row>
    <row r="92" s="1" customFormat="1" spans="1:41">
      <c r="A92" s="1" t="s">
        <v>378</v>
      </c>
      <c r="B92" s="1" t="s">
        <v>379</v>
      </c>
      <c r="C92" s="1">
        <v>390.607173</v>
      </c>
      <c r="D92" s="1" t="s">
        <v>380</v>
      </c>
      <c r="E92" s="1" t="s">
        <v>381</v>
      </c>
      <c r="F92" s="1" t="s">
        <v>44</v>
      </c>
      <c r="G92" s="1" t="s">
        <v>45</v>
      </c>
      <c r="H92" s="1">
        <v>8</v>
      </c>
      <c r="I92" s="1">
        <v>64</v>
      </c>
      <c r="J92" s="1">
        <v>64</v>
      </c>
      <c r="K92" s="1">
        <v>100</v>
      </c>
      <c r="L92" s="1">
        <v>54</v>
      </c>
      <c r="M92" s="1">
        <v>84.375</v>
      </c>
      <c r="N92" s="1">
        <v>54</v>
      </c>
      <c r="O92" s="1">
        <v>84.375</v>
      </c>
      <c r="P92" s="1">
        <v>-5.05953703703704</v>
      </c>
      <c r="Q92" s="1">
        <f t="shared" si="2"/>
        <v>-273.215</v>
      </c>
      <c r="R92" s="1">
        <v>-4.8195</v>
      </c>
      <c r="S92" s="1">
        <v>-7.066</v>
      </c>
      <c r="T92" s="1">
        <v>-4.095</v>
      </c>
      <c r="U92" s="1">
        <v>-3.718</v>
      </c>
      <c r="V92" s="1">
        <v>-3.6405</v>
      </c>
      <c r="W92" s="1">
        <v>-4.1105</v>
      </c>
      <c r="X92" s="1">
        <v>-4.149</v>
      </c>
      <c r="Y92" s="1">
        <v>0.487604702647062</v>
      </c>
      <c r="Z92" s="1">
        <v>0.522104692078418</v>
      </c>
      <c r="AA92" s="1">
        <v>0.66203125</v>
      </c>
      <c r="AB92" s="1">
        <v>0.655</v>
      </c>
      <c r="AC92" s="1">
        <v>0.253777871483302</v>
      </c>
      <c r="AD92" s="1">
        <v>0.244388189775775</v>
      </c>
      <c r="AE92" s="1">
        <v>0.779570294039438</v>
      </c>
      <c r="AF92" s="1">
        <v>0.808846561177357</v>
      </c>
      <c r="AG92" s="1">
        <v>0.810688225560193</v>
      </c>
      <c r="AH92" s="1">
        <v>0.807828169758385</v>
      </c>
      <c r="AI92" s="1">
        <v>0.810262989078286</v>
      </c>
      <c r="AJ92" s="1">
        <v>0.830318936282246</v>
      </c>
      <c r="AK92" s="1">
        <v>0.809547119549644</v>
      </c>
      <c r="AL92" s="1">
        <v>0.814480466747289</v>
      </c>
      <c r="AM92" s="1">
        <v>0.501746593624501</v>
      </c>
      <c r="AN92" s="1">
        <v>0.692682334145068</v>
      </c>
      <c r="AO92" s="1">
        <v>94</v>
      </c>
    </row>
    <row r="93" s="1" customFormat="1" spans="1:41">
      <c r="A93" s="1" t="s">
        <v>382</v>
      </c>
      <c r="B93" s="1" t="s">
        <v>383</v>
      </c>
      <c r="C93" s="1">
        <v>917.620588</v>
      </c>
      <c r="D93" s="1" t="s">
        <v>384</v>
      </c>
      <c r="E93" s="1" t="s">
        <v>385</v>
      </c>
      <c r="F93" s="1" t="s">
        <v>44</v>
      </c>
      <c r="G93" s="1" t="s">
        <v>45</v>
      </c>
      <c r="H93" s="1">
        <v>8</v>
      </c>
      <c r="I93" s="1">
        <v>64</v>
      </c>
      <c r="J93" s="1">
        <v>64</v>
      </c>
      <c r="K93" s="1">
        <v>100</v>
      </c>
      <c r="L93" s="1">
        <v>44</v>
      </c>
      <c r="M93" s="1">
        <v>68.75</v>
      </c>
      <c r="N93" s="1">
        <v>44</v>
      </c>
      <c r="O93" s="1">
        <v>68.75</v>
      </c>
      <c r="P93" s="1">
        <v>-7.86404545454545</v>
      </c>
      <c r="Q93" s="1">
        <f t="shared" si="2"/>
        <v>-346.018</v>
      </c>
      <c r="R93" s="1">
        <v>-7.7505</v>
      </c>
      <c r="S93" s="1">
        <v>-12.192</v>
      </c>
      <c r="T93" s="1">
        <v>-5.026</v>
      </c>
      <c r="U93" s="1">
        <v>-6.35459090909091</v>
      </c>
      <c r="V93" s="1">
        <v>-6.3875</v>
      </c>
      <c r="W93" s="1">
        <v>-6.56520454545455</v>
      </c>
      <c r="X93" s="1">
        <v>-6.5615</v>
      </c>
      <c r="Y93" s="1">
        <v>0.323341929954539</v>
      </c>
      <c r="Z93" s="1">
        <v>0.292538472350853</v>
      </c>
      <c r="AA93" s="1">
        <v>0.60140625</v>
      </c>
      <c r="AB93" s="1">
        <v>0.6</v>
      </c>
      <c r="AC93" s="1">
        <v>0.195933739245755</v>
      </c>
      <c r="AD93" s="1">
        <v>0.184149275011358</v>
      </c>
      <c r="AE93" s="1">
        <v>0.739808833521604</v>
      </c>
      <c r="AF93" s="1">
        <v>0.800325457758868</v>
      </c>
      <c r="AG93" s="1">
        <v>0.825932428179113</v>
      </c>
      <c r="AH93" s="1">
        <v>0.791735004003349</v>
      </c>
      <c r="AI93" s="1">
        <v>0.81513359956244</v>
      </c>
      <c r="AJ93" s="1">
        <v>0.790424174084981</v>
      </c>
      <c r="AK93" s="1">
        <v>0.811059683058379</v>
      </c>
      <c r="AL93" s="1">
        <v>0.810255041921605</v>
      </c>
      <c r="AM93" s="1">
        <v>0.303336975917905</v>
      </c>
      <c r="AN93" s="1">
        <v>0.624422309172896</v>
      </c>
      <c r="AO93" s="1">
        <v>95</v>
      </c>
    </row>
    <row r="94" s="1" customFormat="1" spans="1:41">
      <c r="A94" s="1" t="s">
        <v>386</v>
      </c>
      <c r="B94" s="1" t="s">
        <v>387</v>
      </c>
      <c r="C94" s="1">
        <v>423.858509</v>
      </c>
      <c r="D94" s="1" t="s">
        <v>388</v>
      </c>
      <c r="E94" s="1" t="s">
        <v>389</v>
      </c>
      <c r="F94" s="1" t="s">
        <v>44</v>
      </c>
      <c r="G94" s="1" t="s">
        <v>45</v>
      </c>
      <c r="H94" s="1">
        <v>8</v>
      </c>
      <c r="I94" s="1">
        <v>64</v>
      </c>
      <c r="J94" s="1">
        <v>64</v>
      </c>
      <c r="K94" s="1">
        <v>100</v>
      </c>
      <c r="L94" s="1">
        <v>45</v>
      </c>
      <c r="M94" s="1">
        <v>70.3125</v>
      </c>
      <c r="N94" s="1">
        <v>45</v>
      </c>
      <c r="O94" s="1">
        <v>70.3125</v>
      </c>
      <c r="P94" s="1">
        <v>-4.79775555555556</v>
      </c>
      <c r="Q94" s="1">
        <f t="shared" si="2"/>
        <v>-215.899</v>
      </c>
      <c r="R94" s="1">
        <v>-4.557</v>
      </c>
      <c r="S94" s="1">
        <v>-7.763</v>
      </c>
      <c r="T94" s="1">
        <v>-3.173</v>
      </c>
      <c r="U94" s="1">
        <v>-3.2596</v>
      </c>
      <c r="V94" s="1">
        <v>-3.21</v>
      </c>
      <c r="W94" s="1">
        <v>-3.74297777777778</v>
      </c>
      <c r="X94" s="1">
        <v>-3.57</v>
      </c>
      <c r="Y94" s="1">
        <v>0.388636391007362</v>
      </c>
      <c r="Z94" s="1">
        <v>0.39439152886038</v>
      </c>
      <c r="AA94" s="1">
        <v>0.7409375</v>
      </c>
      <c r="AB94" s="1">
        <v>0.75</v>
      </c>
      <c r="AC94" s="1">
        <v>0.232192740035381</v>
      </c>
      <c r="AD94" s="1">
        <v>0.247768806984373</v>
      </c>
      <c r="AE94" s="1">
        <v>0.789773790537543</v>
      </c>
      <c r="AF94" s="1">
        <v>0.810591981974341</v>
      </c>
      <c r="AG94" s="1" t="s">
        <v>46</v>
      </c>
      <c r="AH94" s="1">
        <v>0.804057027291156</v>
      </c>
      <c r="AI94" s="1">
        <v>0.8249179711873</v>
      </c>
      <c r="AJ94" s="1" t="s">
        <v>46</v>
      </c>
      <c r="AK94" s="1">
        <v>0.802797933833978</v>
      </c>
      <c r="AL94" s="1">
        <v>0.811331625262639</v>
      </c>
      <c r="AM94" s="1">
        <v>0.498405726257997</v>
      </c>
      <c r="AN94" s="1">
        <v>0.712847493832068</v>
      </c>
      <c r="AO94" s="1">
        <v>96</v>
      </c>
    </row>
    <row r="95" s="1" customFormat="1" spans="1:41">
      <c r="A95" s="1" t="s">
        <v>390</v>
      </c>
      <c r="B95" s="1" t="s">
        <v>391</v>
      </c>
      <c r="C95" s="1">
        <v>703.182198</v>
      </c>
      <c r="D95" s="1" t="s">
        <v>392</v>
      </c>
      <c r="E95" s="1" t="s">
        <v>393</v>
      </c>
      <c r="F95" s="1" t="s">
        <v>44</v>
      </c>
      <c r="G95" s="1" t="s">
        <v>45</v>
      </c>
      <c r="H95" s="1">
        <v>8</v>
      </c>
      <c r="I95" s="1">
        <v>64</v>
      </c>
      <c r="J95" s="1">
        <v>64</v>
      </c>
      <c r="K95" s="1">
        <v>100</v>
      </c>
      <c r="L95" s="1">
        <v>49</v>
      </c>
      <c r="M95" s="1">
        <v>76.5625</v>
      </c>
      <c r="N95" s="1">
        <v>49</v>
      </c>
      <c r="O95" s="1">
        <v>76.5625</v>
      </c>
      <c r="P95" s="1">
        <v>-8.05636734693878</v>
      </c>
      <c r="Q95" s="1">
        <f t="shared" si="2"/>
        <v>-394.762</v>
      </c>
      <c r="R95" s="1">
        <v>-8.122</v>
      </c>
      <c r="S95" s="1">
        <v>-10.317</v>
      </c>
      <c r="T95" s="1">
        <v>-4.817</v>
      </c>
      <c r="U95" s="1">
        <v>-4.84989795918367</v>
      </c>
      <c r="V95" s="1">
        <v>-4.681</v>
      </c>
      <c r="W95" s="1">
        <v>-5.31985714285714</v>
      </c>
      <c r="X95" s="1">
        <v>-5.127</v>
      </c>
      <c r="Y95" s="1">
        <v>0.387410413960485</v>
      </c>
      <c r="Z95" s="1">
        <v>0.358551910821393</v>
      </c>
      <c r="AA95" s="1">
        <v>0.64828125</v>
      </c>
      <c r="AB95" s="1">
        <v>0.645</v>
      </c>
      <c r="AC95" s="1">
        <v>0.210872282140078</v>
      </c>
      <c r="AD95" s="1">
        <v>0.211771938008683</v>
      </c>
      <c r="AE95" s="1">
        <v>0.739671507885819</v>
      </c>
      <c r="AF95" s="1">
        <v>0.796945729185587</v>
      </c>
      <c r="AG95" s="1">
        <v>0.780998993100086</v>
      </c>
      <c r="AH95" s="1">
        <v>0.797655930534759</v>
      </c>
      <c r="AI95" s="1">
        <v>0.825634942331095</v>
      </c>
      <c r="AJ95" s="1" t="s">
        <v>46</v>
      </c>
      <c r="AK95" s="1">
        <v>0.814488839644995</v>
      </c>
      <c r="AL95" s="1">
        <v>0.809079011886271</v>
      </c>
      <c r="AM95" s="1">
        <v>0.324699289775193</v>
      </c>
      <c r="AN95" s="1">
        <v>0.613757669001965</v>
      </c>
      <c r="AO95" s="1">
        <v>97</v>
      </c>
    </row>
    <row r="96" s="1" customFormat="1" spans="1:41">
      <c r="A96" s="1" t="s">
        <v>394</v>
      </c>
      <c r="B96" s="1" t="s">
        <v>395</v>
      </c>
      <c r="C96" s="1">
        <v>893.092565</v>
      </c>
      <c r="D96" s="1" t="s">
        <v>396</v>
      </c>
      <c r="E96" s="1" t="s">
        <v>397</v>
      </c>
      <c r="F96" s="1" t="s">
        <v>44</v>
      </c>
      <c r="G96" s="1" t="s">
        <v>45</v>
      </c>
      <c r="H96" s="1">
        <v>8</v>
      </c>
      <c r="I96" s="1">
        <v>64</v>
      </c>
      <c r="J96" s="1">
        <v>63</v>
      </c>
      <c r="K96" s="1">
        <v>98.4375</v>
      </c>
      <c r="L96" s="1">
        <v>58</v>
      </c>
      <c r="M96" s="1">
        <v>90.625</v>
      </c>
      <c r="N96" s="1">
        <v>58</v>
      </c>
      <c r="O96" s="1">
        <v>90.625</v>
      </c>
      <c r="P96" s="1">
        <v>-9.50289655172414</v>
      </c>
      <c r="Q96" s="1">
        <f t="shared" si="2"/>
        <v>-551.168</v>
      </c>
      <c r="R96" s="1">
        <v>-9.419</v>
      </c>
      <c r="S96" s="1">
        <v>-13.308</v>
      </c>
      <c r="T96" s="1">
        <v>-5.059</v>
      </c>
      <c r="U96" s="1">
        <v>-8.08858620689655</v>
      </c>
      <c r="V96" s="1">
        <v>-7.8115</v>
      </c>
      <c r="W96" s="1">
        <v>-8.30518965517241</v>
      </c>
      <c r="X96" s="1">
        <v>-7.997</v>
      </c>
      <c r="Y96" s="1">
        <v>0.300295322788402</v>
      </c>
      <c r="Z96" s="1">
        <v>0.264471985203943</v>
      </c>
      <c r="AA96" s="1">
        <v>0.555396825396825</v>
      </c>
      <c r="AB96" s="1">
        <v>0.55</v>
      </c>
      <c r="AC96" s="1">
        <v>0.259309049431867</v>
      </c>
      <c r="AD96" s="1">
        <v>0.266369873083646</v>
      </c>
      <c r="AE96" s="1">
        <v>0.748108286385823</v>
      </c>
      <c r="AF96" s="1">
        <v>0.797875099662443</v>
      </c>
      <c r="AG96" s="1">
        <v>0.757892037216534</v>
      </c>
      <c r="AH96" s="1">
        <v>0.774579796117925</v>
      </c>
      <c r="AI96" s="1">
        <v>0.813144153460407</v>
      </c>
      <c r="AJ96" s="1">
        <v>0.823796679232291</v>
      </c>
      <c r="AK96" s="1">
        <v>0.80320861723266</v>
      </c>
      <c r="AL96" s="1">
        <v>0.810373466837968</v>
      </c>
      <c r="AM96" s="1">
        <v>0.319351998749155</v>
      </c>
      <c r="AN96" s="1">
        <v>0.62393917983853</v>
      </c>
      <c r="AO96" s="1">
        <v>98</v>
      </c>
    </row>
    <row r="97" s="1" customFormat="1" spans="1:41">
      <c r="A97" s="1" t="s">
        <v>398</v>
      </c>
      <c r="B97" s="1" t="s">
        <v>399</v>
      </c>
      <c r="C97" s="1">
        <v>494.994429</v>
      </c>
      <c r="D97" s="1" t="s">
        <v>400</v>
      </c>
      <c r="E97" s="1" t="s">
        <v>401</v>
      </c>
      <c r="F97" s="1" t="s">
        <v>44</v>
      </c>
      <c r="G97" s="1" t="s">
        <v>45</v>
      </c>
      <c r="H97" s="1">
        <v>8</v>
      </c>
      <c r="I97" s="1">
        <v>64</v>
      </c>
      <c r="J97" s="1">
        <v>62</v>
      </c>
      <c r="K97" s="1">
        <v>96.875</v>
      </c>
      <c r="L97" s="1">
        <v>49</v>
      </c>
      <c r="M97" s="1">
        <v>76.5625</v>
      </c>
      <c r="N97" s="1">
        <v>49</v>
      </c>
      <c r="O97" s="1">
        <v>76.5625</v>
      </c>
      <c r="P97" s="1">
        <v>-7.79820408163265</v>
      </c>
      <c r="Q97" s="1">
        <f t="shared" si="2"/>
        <v>-382.112</v>
      </c>
      <c r="R97" s="1">
        <v>-7.518</v>
      </c>
      <c r="S97" s="1">
        <v>-11.841</v>
      </c>
      <c r="T97" s="1">
        <v>-5.617</v>
      </c>
      <c r="U97" s="1">
        <v>-6.0954693877551</v>
      </c>
      <c r="V97" s="1">
        <v>-5.787</v>
      </c>
      <c r="W97" s="1">
        <v>-6.55189795918367</v>
      </c>
      <c r="X97" s="1">
        <v>-6.399</v>
      </c>
      <c r="Y97" s="1">
        <v>0.474680426439242</v>
      </c>
      <c r="Z97" s="1">
        <v>0.509322362007748</v>
      </c>
      <c r="AA97" s="1">
        <v>0.641451612903226</v>
      </c>
      <c r="AB97" s="1">
        <v>0.62</v>
      </c>
      <c r="AC97" s="1">
        <v>0.178631336619798</v>
      </c>
      <c r="AD97" s="1">
        <v>0.165991280005403</v>
      </c>
      <c r="AE97" s="1">
        <v>0.760133085049059</v>
      </c>
      <c r="AF97" s="1">
        <v>0.810339297492086</v>
      </c>
      <c r="AG97" s="1">
        <v>0.793707576912558</v>
      </c>
      <c r="AH97" s="1">
        <v>0.798111982732869</v>
      </c>
      <c r="AI97" s="1">
        <v>0.810268377746223</v>
      </c>
      <c r="AJ97" s="1">
        <v>0.83194394480262</v>
      </c>
      <c r="AK97" s="1">
        <v>0.80803496023008</v>
      </c>
      <c r="AL97" s="1">
        <v>0.812375819693564</v>
      </c>
      <c r="AM97" s="1">
        <v>0.372502863405445</v>
      </c>
      <c r="AN97" s="1">
        <v>0.656991467881878</v>
      </c>
      <c r="AO97" s="1">
        <v>99</v>
      </c>
    </row>
    <row r="98" spans="1:41">
      <c r="N98">
        <f>SUM(N2:N97)</f>
        <v>4173</v>
      </c>
      <c r="Q98">
        <f>SUM(Q2:Q97)</f>
        <v>-32183.658</v>
      </c>
    </row>
    <row r="99" spans="1:41">
      <c r="Q99">
        <v>-7.712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叶行健</cp:lastModifiedBy>
  <dcterms:created xsi:type="dcterms:W3CDTF">2023-05-12T11:15:00Z</dcterms:created>
  <dcterms:modified xsi:type="dcterms:W3CDTF">2025-12-13T04:41:42Z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F488D9F36E65449FB42DF0BD5A89CE85_12</vt:lpwstr>
  </property>
  <property fmtid="{D5CDD505-2E9C-101B-9397-08002B2CF9AE}" pid="4" name="CalculationRule">
    <vt:i4>0</vt:i4>
  </property>
</Properties>
</file>